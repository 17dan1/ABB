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Table" sheetId="1" r:id="rId4"/>
    <sheet state="visible" name="LEGENDA" sheetId="2" r:id="rId5"/>
    <sheet state="visible" name="Foglio3" sheetId="3" r:id="rId6"/>
  </sheets>
  <definedNames/>
  <calcPr/>
  <extLst>
    <ext uri="GoogleSheetsCustomDataVersion2">
      <go:sheetsCustomData xmlns:go="http://customooxmlschemas.google.com/" r:id="rId7" roundtripDataChecksum="rQzrMiiC7K69aFq1Sc/jNp0u7EmNZZx8yH1jD9JTdhE="/>
    </ext>
  </extLst>
</workbook>
</file>

<file path=xl/sharedStrings.xml><?xml version="1.0" encoding="utf-8"?>
<sst xmlns="http://schemas.openxmlformats.org/spreadsheetml/2006/main" count="2716" uniqueCount="824">
  <si>
    <t>Parameter</t>
  </si>
  <si>
    <t>TIPOLOGIA</t>
  </si>
  <si>
    <t>NOTE</t>
  </si>
  <si>
    <t>Unit</t>
  </si>
  <si>
    <t>Details</t>
  </si>
  <si>
    <t>Resolution</t>
  </si>
  <si>
    <t>Data Type</t>
  </si>
  <si>
    <t>Access</t>
  </si>
  <si>
    <t>Register (Hex)</t>
  </si>
  <si>
    <t>Nr of quantities</t>
  </si>
  <si>
    <t>Size</t>
  </si>
  <si>
    <t>Nr of registers</t>
  </si>
  <si>
    <t>Functionality group</t>
  </si>
  <si>
    <t>Active energy - import</t>
  </si>
  <si>
    <t>ENERGIA</t>
  </si>
  <si>
    <t>energia totale</t>
  </si>
  <si>
    <t>kWh</t>
  </si>
  <si>
    <t>Unsigned</t>
  </si>
  <si>
    <t>Read</t>
  </si>
  <si>
    <t>Data Reading - Energy (total)</t>
  </si>
  <si>
    <t>Active energy - export</t>
  </si>
  <si>
    <t>5004</t>
  </si>
  <si>
    <t>Active energy - net</t>
  </si>
  <si>
    <t>Signed</t>
  </si>
  <si>
    <t>5008</t>
  </si>
  <si>
    <t>Reactive energy - import</t>
  </si>
  <si>
    <t>kvarh</t>
  </si>
  <si>
    <t>500C</t>
  </si>
  <si>
    <t>Reactive energy - export</t>
  </si>
  <si>
    <t>5010</t>
  </si>
  <si>
    <t>Reactive energy - net</t>
  </si>
  <si>
    <t>5014</t>
  </si>
  <si>
    <t>Apparent energy - import</t>
  </si>
  <si>
    <t>kVA</t>
  </si>
  <si>
    <t>5018</t>
  </si>
  <si>
    <t>Apparent energy - export</t>
  </si>
  <si>
    <t>501C</t>
  </si>
  <si>
    <t>Apparent energy - net</t>
  </si>
  <si>
    <t>5020</t>
  </si>
  <si>
    <t>Conversione</t>
  </si>
  <si>
    <t>kg / kWh</t>
  </si>
  <si>
    <t>CO2 conversion factor</t>
  </si>
  <si>
    <t>5024</t>
  </si>
  <si>
    <t>Data Reading - Energy Conversion</t>
  </si>
  <si>
    <t>Currency / kWh</t>
  </si>
  <si>
    <t>Currency conversion factor</t>
  </si>
  <si>
    <t>5034</t>
  </si>
  <si>
    <t>L1, L2, L3</t>
  </si>
  <si>
    <t>5460</t>
  </si>
  <si>
    <t>Data Reading - Energy (per phase)</t>
  </si>
  <si>
    <t>546C</t>
  </si>
  <si>
    <t>5478</t>
  </si>
  <si>
    <t>5484</t>
  </si>
  <si>
    <t>5490</t>
  </si>
  <si>
    <t>549C</t>
  </si>
  <si>
    <t>54A8</t>
  </si>
  <si>
    <t>54B4</t>
  </si>
  <si>
    <t>54C0</t>
  </si>
  <si>
    <t>Three phase system voltage</t>
  </si>
  <si>
    <t>TENSIONE</t>
  </si>
  <si>
    <t>V</t>
  </si>
  <si>
    <t>5B00</t>
  </si>
  <si>
    <t>Data Reading - Real-Time values</t>
  </si>
  <si>
    <t>Phase voltage L1</t>
  </si>
  <si>
    <t>L1</t>
  </si>
  <si>
    <t>5B02</t>
  </si>
  <si>
    <t>Phase voltage L2</t>
  </si>
  <si>
    <t>L2</t>
  </si>
  <si>
    <t>5B04</t>
  </si>
  <si>
    <t>Phase voltage L3</t>
  </si>
  <si>
    <t>L3</t>
  </si>
  <si>
    <t>5B06</t>
  </si>
  <si>
    <t>Line voltage L1-L2</t>
  </si>
  <si>
    <t>L1-L2</t>
  </si>
  <si>
    <t>5B08</t>
  </si>
  <si>
    <t>Line voltage L3-L2</t>
  </si>
  <si>
    <t>L3-L2</t>
  </si>
  <si>
    <t>5B0A</t>
  </si>
  <si>
    <t>Line voltage L1-L3</t>
  </si>
  <si>
    <t>L1-L3</t>
  </si>
  <si>
    <t>5B0C</t>
  </si>
  <si>
    <t>Three phase system current</t>
  </si>
  <si>
    <t>CORRENTE</t>
  </si>
  <si>
    <t>A</t>
  </si>
  <si>
    <t>5B0E</t>
  </si>
  <si>
    <t>Current</t>
  </si>
  <si>
    <t>5B10</t>
  </si>
  <si>
    <t>5B12</t>
  </si>
  <si>
    <t>5B14</t>
  </si>
  <si>
    <t>N</t>
  </si>
  <si>
    <t>5B16</t>
  </si>
  <si>
    <t>Active power</t>
  </si>
  <si>
    <t>POTENZA</t>
  </si>
  <si>
    <t>W</t>
  </si>
  <si>
    <t>Total</t>
  </si>
  <si>
    <t>5B1A</t>
  </si>
  <si>
    <t>5B1C</t>
  </si>
  <si>
    <t>5B1E</t>
  </si>
  <si>
    <t>5B20</t>
  </si>
  <si>
    <t>Reactive power</t>
  </si>
  <si>
    <t>var</t>
  </si>
  <si>
    <t>5B22</t>
  </si>
  <si>
    <t>5B24</t>
  </si>
  <si>
    <t>5B26</t>
  </si>
  <si>
    <t>5B28</t>
  </si>
  <si>
    <t>Apparent power</t>
  </si>
  <si>
    <t>VA</t>
  </si>
  <si>
    <t>5B2A</t>
  </si>
  <si>
    <t>5B2C</t>
  </si>
  <si>
    <t>5B2E</t>
  </si>
  <si>
    <t>5B30</t>
  </si>
  <si>
    <t>Frequency</t>
  </si>
  <si>
    <t>FREQUENZA</t>
  </si>
  <si>
    <t>Hz</t>
  </si>
  <si>
    <t>5B32</t>
  </si>
  <si>
    <t>Phase angles power</t>
  </si>
  <si>
    <t>FATTORI POTENZA</t>
  </si>
  <si>
    <t>°</t>
  </si>
  <si>
    <t>Total, L1, L2, L3</t>
  </si>
  <si>
    <t>5B33</t>
  </si>
  <si>
    <t>Phase angles voltage</t>
  </si>
  <si>
    <t>5B37</t>
  </si>
  <si>
    <t>Phase angles current</t>
  </si>
  <si>
    <t>5B3D</t>
  </si>
  <si>
    <t>Power factors</t>
  </si>
  <si>
    <t>5B40</t>
  </si>
  <si>
    <t>5B41</t>
  </si>
  <si>
    <t>5B42</t>
  </si>
  <si>
    <t>5B43</t>
  </si>
  <si>
    <t>Current quadrant</t>
  </si>
  <si>
    <t>5B44</t>
  </si>
  <si>
    <t>Cosphi (displacement factor)</t>
  </si>
  <si>
    <t>5B48</t>
  </si>
  <si>
    <t>5B49</t>
  </si>
  <si>
    <t>5B4A</t>
  </si>
  <si>
    <t>5B4B</t>
  </si>
  <si>
    <t>Average current L1</t>
  </si>
  <si>
    <t>VALORI MEDI</t>
  </si>
  <si>
    <t>Data value</t>
  </si>
  <si>
    <t>5BD4</t>
  </si>
  <si>
    <t>Data Reading - Avg/Min/Max values</t>
  </si>
  <si>
    <t>Average current L2</t>
  </si>
  <si>
    <t>5BD6</t>
  </si>
  <si>
    <t>Average current L3</t>
  </si>
  <si>
    <t>5BD8</t>
  </si>
  <si>
    <t>Average current neutral</t>
  </si>
  <si>
    <t>5BDA</t>
  </si>
  <si>
    <t>Average voltage L1</t>
  </si>
  <si>
    <t>5BDC</t>
  </si>
  <si>
    <t>Average voltage L2</t>
  </si>
  <si>
    <t>5BDE</t>
  </si>
  <si>
    <t>Average voltage L3</t>
  </si>
  <si>
    <t>5BE0</t>
  </si>
  <si>
    <t>Average voltage L1-L2</t>
  </si>
  <si>
    <t>5BE2</t>
  </si>
  <si>
    <t>Average voltage L2-L3</t>
  </si>
  <si>
    <t>5BE4</t>
  </si>
  <si>
    <t>Average voltage L1-L3</t>
  </si>
  <si>
    <t>5BE6</t>
  </si>
  <si>
    <t>Average active power total</t>
  </si>
  <si>
    <t>5BE8</t>
  </si>
  <si>
    <t>Average active power L1</t>
  </si>
  <si>
    <t>5BEA</t>
  </si>
  <si>
    <t>Average active power L2</t>
  </si>
  <si>
    <t>5BEC</t>
  </si>
  <si>
    <t>Average active power L3</t>
  </si>
  <si>
    <t>5BEE</t>
  </si>
  <si>
    <t>Average reactive power total</t>
  </si>
  <si>
    <t>5BF0</t>
  </si>
  <si>
    <t>Average reactive power L1</t>
  </si>
  <si>
    <t>5BF2</t>
  </si>
  <si>
    <t>Average reactive power L2</t>
  </si>
  <si>
    <t>5BF4</t>
  </si>
  <si>
    <t>Average reactive power L3</t>
  </si>
  <si>
    <t>5BF6</t>
  </si>
  <si>
    <t>Average apparent power total</t>
  </si>
  <si>
    <t>5BF8</t>
  </si>
  <si>
    <t>Average apparent power L1</t>
  </si>
  <si>
    <t>5BFA</t>
  </si>
  <si>
    <t>Average apparent power L2</t>
  </si>
  <si>
    <t>5BFC</t>
  </si>
  <si>
    <t>Average apparent power L3</t>
  </si>
  <si>
    <t>5BFE</t>
  </si>
  <si>
    <t>Maximum current L1</t>
  </si>
  <si>
    <t>VALORI MASSIMI</t>
  </si>
  <si>
    <t>5C10</t>
  </si>
  <si>
    <t>Maximum current L2</t>
  </si>
  <si>
    <t>5C12</t>
  </si>
  <si>
    <t>Maximum current L3</t>
  </si>
  <si>
    <t>5C14</t>
  </si>
  <si>
    <t>Maximum current neutral</t>
  </si>
  <si>
    <t>5C16</t>
  </si>
  <si>
    <t>Maximum voltage L1</t>
  </si>
  <si>
    <t>5C18</t>
  </si>
  <si>
    <t>Maximum voltage L2</t>
  </si>
  <si>
    <t>5C1A</t>
  </si>
  <si>
    <t>Maximum voltage L3</t>
  </si>
  <si>
    <t>5C1C</t>
  </si>
  <si>
    <t>Maximum voltage L1-L2</t>
  </si>
  <si>
    <t>5C1E</t>
  </si>
  <si>
    <t>Maximum voltage L2-L3</t>
  </si>
  <si>
    <t>5C20</t>
  </si>
  <si>
    <t>Maximum voltage L1-L3</t>
  </si>
  <si>
    <t>5C22</t>
  </si>
  <si>
    <t>Maximum active power total</t>
  </si>
  <si>
    <t>5C24</t>
  </si>
  <si>
    <t>Maximum active power L1</t>
  </si>
  <si>
    <t>5C26</t>
  </si>
  <si>
    <t>Maximum active power L2</t>
  </si>
  <si>
    <t>5C28</t>
  </si>
  <si>
    <t>Maximum active power L3</t>
  </si>
  <si>
    <t>5C2A</t>
  </si>
  <si>
    <t>Maximum reactive power total</t>
  </si>
  <si>
    <t>5C2C</t>
  </si>
  <si>
    <t>Maximum reactive power L1</t>
  </si>
  <si>
    <t>5C2E</t>
  </si>
  <si>
    <t>Maximum reactive power L2</t>
  </si>
  <si>
    <t>5C30</t>
  </si>
  <si>
    <t>Maximum reactive power L3</t>
  </si>
  <si>
    <t>5C32</t>
  </si>
  <si>
    <t>Maximum apparent power total</t>
  </si>
  <si>
    <t>5C34</t>
  </si>
  <si>
    <t>Maximum apparent power L1</t>
  </si>
  <si>
    <t>5C36</t>
  </si>
  <si>
    <t>Maximum apparent power L2</t>
  </si>
  <si>
    <t>5C38</t>
  </si>
  <si>
    <t>Maximum apparent power L3</t>
  </si>
  <si>
    <t>5C3A</t>
  </si>
  <si>
    <t>Maximum current L1 timestamp</t>
  </si>
  <si>
    <t>TIMESTAMP VALORI MASSIMI</t>
  </si>
  <si>
    <t>Timestamp</t>
  </si>
  <si>
    <t>5C4C</t>
  </si>
  <si>
    <t>Maximum current L2 timestamp</t>
  </si>
  <si>
    <t>5C4E</t>
  </si>
  <si>
    <t>Maximum current L3 timestamp</t>
  </si>
  <si>
    <t>5C50</t>
  </si>
  <si>
    <t>Maximum current neutral timestamp</t>
  </si>
  <si>
    <t>5C52</t>
  </si>
  <si>
    <t>Maximum voltage L1 timestamp</t>
  </si>
  <si>
    <t>5C54</t>
  </si>
  <si>
    <t>Maximum voltage L2 timestamp</t>
  </si>
  <si>
    <t>5C56</t>
  </si>
  <si>
    <t>Maximum voltage L3 timestamp</t>
  </si>
  <si>
    <t>5C58</t>
  </si>
  <si>
    <t>Maximum voltage L1-L2 timestamp</t>
  </si>
  <si>
    <t>5C5A</t>
  </si>
  <si>
    <t>Maximum voltage L2-L3 timestamp</t>
  </si>
  <si>
    <t>5C5C</t>
  </si>
  <si>
    <t>Maximum voltage L1-L3 timestamp</t>
  </si>
  <si>
    <t>5C5E</t>
  </si>
  <si>
    <t>Maximum active power total timestamp</t>
  </si>
  <si>
    <t>5C60</t>
  </si>
  <si>
    <t>Maximum active power L1 timestamp</t>
  </si>
  <si>
    <t>5C62</t>
  </si>
  <si>
    <t>Maximum active power L2 timestamp</t>
  </si>
  <si>
    <t>5C64</t>
  </si>
  <si>
    <t>Maximum active power L3 timestamp</t>
  </si>
  <si>
    <t>5C66</t>
  </si>
  <si>
    <t>Maximum reactive power total timestamp</t>
  </si>
  <si>
    <t>5C68</t>
  </si>
  <si>
    <t>Maximum reactive power L1 timestamp</t>
  </si>
  <si>
    <t>5C6A</t>
  </si>
  <si>
    <t>Maximum reactive power L2 timestamp</t>
  </si>
  <si>
    <t>5C6C</t>
  </si>
  <si>
    <t>Maximum reactive power L3 timestamp</t>
  </si>
  <si>
    <t>5C6E</t>
  </si>
  <si>
    <t>Maximum apparent power total timestamp</t>
  </si>
  <si>
    <t>5C70</t>
  </si>
  <si>
    <t>Maximum apparent power L1 timestamp</t>
  </si>
  <si>
    <t>5C72</t>
  </si>
  <si>
    <t>Maximum apparent power L2 timestamp</t>
  </si>
  <si>
    <t>5C74</t>
  </si>
  <si>
    <t>Maximum apparent power L3 timestamp</t>
  </si>
  <si>
    <t>5C76</t>
  </si>
  <si>
    <t>Minimum current L1</t>
  </si>
  <si>
    <t>VALORI MINIMI</t>
  </si>
  <si>
    <t>5C88</t>
  </si>
  <si>
    <t>Minimum current L2</t>
  </si>
  <si>
    <t>5C8A</t>
  </si>
  <si>
    <t>Minimum current L3</t>
  </si>
  <si>
    <t>5C8C</t>
  </si>
  <si>
    <t>Minimum current neutral</t>
  </si>
  <si>
    <t>5C8E</t>
  </si>
  <si>
    <t>Minimum voltage L1</t>
  </si>
  <si>
    <t>5C90</t>
  </si>
  <si>
    <t>Minimum voltage L2</t>
  </si>
  <si>
    <t>5C92</t>
  </si>
  <si>
    <t>Minimum voltage L3</t>
  </si>
  <si>
    <t>5C94</t>
  </si>
  <si>
    <t>Minimum voltage L1-L2</t>
  </si>
  <si>
    <t>5C96</t>
  </si>
  <si>
    <t>Minimum voltage L2-L3</t>
  </si>
  <si>
    <t>5C98</t>
  </si>
  <si>
    <t>Minimum voltage L1-L3</t>
  </si>
  <si>
    <t>5C9A</t>
  </si>
  <si>
    <t>Minimum active power total</t>
  </si>
  <si>
    <t>5C9C</t>
  </si>
  <si>
    <t>Minimum active power L1</t>
  </si>
  <si>
    <t>5C9E</t>
  </si>
  <si>
    <t>Minimum active power L2</t>
  </si>
  <si>
    <t>5CA0</t>
  </si>
  <si>
    <t>Minimum active power L3</t>
  </si>
  <si>
    <t>5CA2</t>
  </si>
  <si>
    <t>Minimum reactive power total</t>
  </si>
  <si>
    <t>5CA4</t>
  </si>
  <si>
    <t>Minimum reactive power L1</t>
  </si>
  <si>
    <t>5CA6</t>
  </si>
  <si>
    <t>Minimum reactive power L2</t>
  </si>
  <si>
    <t>5CA8</t>
  </si>
  <si>
    <t>Minimum reactive power L3</t>
  </si>
  <si>
    <t>5CAA</t>
  </si>
  <si>
    <t>Minimum apparent power total</t>
  </si>
  <si>
    <t>5CAC</t>
  </si>
  <si>
    <t>Minimum apparent power L1</t>
  </si>
  <si>
    <t>5CAE</t>
  </si>
  <si>
    <t>Minimum apparent power L2</t>
  </si>
  <si>
    <t>5CB0</t>
  </si>
  <si>
    <t>Minimum apparent power L3</t>
  </si>
  <si>
    <t>5CB2</t>
  </si>
  <si>
    <t>Minimum current L1 timestamp</t>
  </si>
  <si>
    <t>TIMESTAMP VALORI MINIMI</t>
  </si>
  <si>
    <t>5CC4</t>
  </si>
  <si>
    <t>Minimum current L2 timestamp</t>
  </si>
  <si>
    <t>5CC6</t>
  </si>
  <si>
    <t>Minimum current L3 timestamp</t>
  </si>
  <si>
    <t>5CC8</t>
  </si>
  <si>
    <t>Minimum current neutral timestamp</t>
  </si>
  <si>
    <t>5CCA</t>
  </si>
  <si>
    <t>Minimum voltage L1 timestamp</t>
  </si>
  <si>
    <t>5CCC</t>
  </si>
  <si>
    <t>Minimum voltage L2 timestamp</t>
  </si>
  <si>
    <t>5CCE</t>
  </si>
  <si>
    <t>Minimum voltage L3 timestamp</t>
  </si>
  <si>
    <t>5CD0</t>
  </si>
  <si>
    <t>Minimum voltage L1-L2 timestamp</t>
  </si>
  <si>
    <t>5CD2</t>
  </si>
  <si>
    <t>Minimum voltage L2-L3 timestamp</t>
  </si>
  <si>
    <t>5CD4</t>
  </si>
  <si>
    <t>Minimum voltage L1-L3 timestamp</t>
  </si>
  <si>
    <t>5CD6</t>
  </si>
  <si>
    <t>Minimum active power total timestamp</t>
  </si>
  <si>
    <t>5CD8</t>
  </si>
  <si>
    <t>Minimum active power L1 timestamp</t>
  </si>
  <si>
    <t>5CDA</t>
  </si>
  <si>
    <t>Minimum active power L2 timestamp</t>
  </si>
  <si>
    <t>5CDC</t>
  </si>
  <si>
    <t>Minimum active power L3 timestamp</t>
  </si>
  <si>
    <t>5CDE</t>
  </si>
  <si>
    <t>Minimum reactive power total timestamp</t>
  </si>
  <si>
    <t>5CE0</t>
  </si>
  <si>
    <t>Minimum reactive power L1 timestamp</t>
  </si>
  <si>
    <t>5CE2</t>
  </si>
  <si>
    <t>Minimum reactive power L2 timestamp</t>
  </si>
  <si>
    <t>5CE4</t>
  </si>
  <si>
    <t>Minimum reactive power L3 timestamp</t>
  </si>
  <si>
    <t>5CE6</t>
  </si>
  <si>
    <t>Minimum apparent power total timestamp</t>
  </si>
  <si>
    <t>5CE8</t>
  </si>
  <si>
    <t>Minimum apparent power L1 timestamp</t>
  </si>
  <si>
    <t>5CEA</t>
  </si>
  <si>
    <t>Minimum apparent power L2 timestamp</t>
  </si>
  <si>
    <t>5CEC</t>
  </si>
  <si>
    <t>Minimum apparent power L3 timestamp</t>
  </si>
  <si>
    <t>5CEE</t>
  </si>
  <si>
    <t>Voltage THD harmonics</t>
  </si>
  <si>
    <t>THD TENSIONE</t>
  </si>
  <si>
    <t>%</t>
  </si>
  <si>
    <t>L1 (THD)</t>
  </si>
  <si>
    <t>5D00</t>
  </si>
  <si>
    <t>Data Reading - Power Quality</t>
  </si>
  <si>
    <t>fatto 2nd-7th</t>
  </si>
  <si>
    <t>L1 (2nd,3rd…40th)</t>
  </si>
  <si>
    <t>5D01</t>
  </si>
  <si>
    <t>L2 (THD)</t>
  </si>
  <si>
    <t>5D80</t>
  </si>
  <si>
    <t>L2 (2nd,3rd…40th)</t>
  </si>
  <si>
    <t>5D81</t>
  </si>
  <si>
    <t>L3 (THD)</t>
  </si>
  <si>
    <t>5E00</t>
  </si>
  <si>
    <t>L3 (2nd,3rd…40th)</t>
  </si>
  <si>
    <t>5E01</t>
  </si>
  <si>
    <t>L1-L2 (THD)</t>
  </si>
  <si>
    <t>5E80</t>
  </si>
  <si>
    <t>L1-L2 (2nd,3rd…40th)</t>
  </si>
  <si>
    <t>5E81</t>
  </si>
  <si>
    <t>L3-L2 (THD)</t>
  </si>
  <si>
    <t>5F00</t>
  </si>
  <si>
    <t>L3-L2 (2nd,3rd…40th)</t>
  </si>
  <si>
    <t>5F01</t>
  </si>
  <si>
    <t>L1-L3 (THD)</t>
  </si>
  <si>
    <t>5F80</t>
  </si>
  <si>
    <t>L1-L3 (2nd,3rd…40th)</t>
  </si>
  <si>
    <t>5F81</t>
  </si>
  <si>
    <t>Current harmonics</t>
  </si>
  <si>
    <t>THD CORRENTE</t>
  </si>
  <si>
    <t>6000</t>
  </si>
  <si>
    <t>6080</t>
  </si>
  <si>
    <t>6100</t>
  </si>
  <si>
    <t>N (THD)</t>
  </si>
  <si>
    <t>6180</t>
  </si>
  <si>
    <t>N (2nd,3rd…40th)</t>
  </si>
  <si>
    <t>Unbalances</t>
  </si>
  <si>
    <t>SBILANCI</t>
  </si>
  <si>
    <t>Line voltage</t>
  </si>
  <si>
    <t>Phase voltage</t>
  </si>
  <si>
    <t>Outputs</t>
  </si>
  <si>
    <t>0: OFF, 1: ON</t>
  </si>
  <si>
    <t>Output 1</t>
  </si>
  <si>
    <t>Read/Write</t>
  </si>
  <si>
    <t>6300</t>
  </si>
  <si>
    <t>Data Reading - I/O</t>
  </si>
  <si>
    <t>Output 2</t>
  </si>
  <si>
    <t>Errors Log</t>
  </si>
  <si>
    <t>Header - Get next entry</t>
  </si>
  <si>
    <t>Write</t>
  </si>
  <si>
    <t>6500</t>
  </si>
  <si>
    <t>Data Reading - Notifications</t>
  </si>
  <si>
    <t>Header - Entry Number</t>
  </si>
  <si>
    <t>Header - Direction</t>
  </si>
  <si>
    <t>Data block</t>
  </si>
  <si>
    <t>Alarms log</t>
  </si>
  <si>
    <t>65B0</t>
  </si>
  <si>
    <t>65B1</t>
  </si>
  <si>
    <t>65B7</t>
  </si>
  <si>
    <t>65C0</t>
  </si>
  <si>
    <t>Audit Log</t>
  </si>
  <si>
    <t>Data block - Entry_Num</t>
  </si>
  <si>
    <t>Data block - Timestamp (seconds from 2010-01-01</t>
  </si>
  <si>
    <t>Data block - Upgrade_Counter</t>
  </si>
  <si>
    <t>Data block - FW_Version</t>
  </si>
  <si>
    <t>ASCII</t>
  </si>
  <si>
    <t>Data block - TRAFO_V_Prim</t>
  </si>
  <si>
    <t>Data block - TRAFO_V_Sec</t>
  </si>
  <si>
    <t>Data block - TRAFO_I_Prim</t>
  </si>
  <si>
    <t>Data block - TRAFO_I_Sec</t>
  </si>
  <si>
    <t>Data block - TRAFO_IN_Prim</t>
  </si>
  <si>
    <t>Data block - TRAFO_IN_Sec</t>
  </si>
  <si>
    <t>Data block - WIRES</t>
  </si>
  <si>
    <t>Data block - ACTIVE_ENERGY_IMPORT_TOTAL</t>
  </si>
  <si>
    <t>Data block - ACTIVE_ENERGY_IMPORT_L1</t>
  </si>
  <si>
    <t>Data block - ACTIVE_ENERGY_IMPORT_L2</t>
  </si>
  <si>
    <t>Data block - ACTIVE_ENERGY_IMPORT_L3</t>
  </si>
  <si>
    <t>Data block - ACTIVE_ENERGY_IMPORT_TAR1</t>
  </si>
  <si>
    <t>Data block - ACTIVE_ENERGY_IMPORT_TAR2</t>
  </si>
  <si>
    <t>Data block - ACTIVE_ENERGY_IMPORT_TAR3</t>
  </si>
  <si>
    <t>Data block - ACTIVE_ENERGY_IMPORT_TAR4</t>
  </si>
  <si>
    <t>Data block - ACTIVE_ENERGY_IMPORT_TAR5</t>
  </si>
  <si>
    <t>Data block - ACTIVE_ENERGY_IMPORT_TAR6</t>
  </si>
  <si>
    <t>Data block - ACTIVE_ENERGY_EXPORT_TOTAL</t>
  </si>
  <si>
    <t>Warnings log</t>
  </si>
  <si>
    <t>Power Outage Log</t>
  </si>
  <si>
    <t>67C0</t>
  </si>
  <si>
    <t>67C1</t>
  </si>
  <si>
    <t>67C7</t>
  </si>
  <si>
    <t>67D0</t>
  </si>
  <si>
    <t>Energy Cumulative</t>
  </si>
  <si>
    <t>8000</t>
  </si>
  <si>
    <t>Data Reading - Historicals</t>
  </si>
  <si>
    <t>Header - Date Time</t>
  </si>
  <si>
    <t>Data block 1</t>
  </si>
  <si>
    <t>8010</t>
  </si>
  <si>
    <t>Data block 2</t>
  </si>
  <si>
    <t>8070</t>
  </si>
  <si>
    <t>Data block 3</t>
  </si>
  <si>
    <t>80D0</t>
  </si>
  <si>
    <t>Data block 4</t>
  </si>
  <si>
    <t>8130</t>
  </si>
  <si>
    <t>Data block 5</t>
  </si>
  <si>
    <t>8190</t>
  </si>
  <si>
    <t>Data block 6</t>
  </si>
  <si>
    <t>81F0</t>
  </si>
  <si>
    <t>Data block 7</t>
  </si>
  <si>
    <t>8250</t>
  </si>
  <si>
    <t>Energy Snapshots</t>
  </si>
  <si>
    <t>8300</t>
  </si>
  <si>
    <t>8310</t>
  </si>
  <si>
    <t>83D0</t>
  </si>
  <si>
    <t>84F0</t>
  </si>
  <si>
    <t>Load profile</t>
  </si>
  <si>
    <t>Header - Get next block</t>
  </si>
  <si>
    <t>8700</t>
  </si>
  <si>
    <t>Header - Channel number</t>
  </si>
  <si>
    <t>Header - Date / Time</t>
  </si>
  <si>
    <t>Channel information - quantity</t>
  </si>
  <si>
    <t>Channel information - scaler</t>
  </si>
  <si>
    <t>Channel information - interval</t>
  </si>
  <si>
    <t>Channel information - datatype</t>
  </si>
  <si>
    <t>Serial number(s)</t>
  </si>
  <si>
    <t>8900</t>
  </si>
  <si>
    <t>Configuration - Device info</t>
  </si>
  <si>
    <t>Meter firmware version</t>
  </si>
  <si>
    <t>8908</t>
  </si>
  <si>
    <t>Product type number ID</t>
  </si>
  <si>
    <t>See Details sheet</t>
  </si>
  <si>
    <t>Slave ID</t>
  </si>
  <si>
    <t>8911</t>
  </si>
  <si>
    <t>Product tag name</t>
  </si>
  <si>
    <t>8919</t>
  </si>
  <si>
    <t>Type designation</t>
  </si>
  <si>
    <t>E.g. M4M30SMA</t>
  </si>
  <si>
    <t>8960</t>
  </si>
  <si>
    <t>Product Name</t>
  </si>
  <si>
    <t>E.g. M4M 30 MODBUS</t>
  </si>
  <si>
    <t>Date Time</t>
  </si>
  <si>
    <t>YYMMDD:HHMMSS</t>
  </si>
  <si>
    <t>8A00</t>
  </si>
  <si>
    <t>Configuration - Date and Time</t>
  </si>
  <si>
    <t>Error flags</t>
  </si>
  <si>
    <t>64 bits flags</t>
  </si>
  <si>
    <t>Read only</t>
  </si>
  <si>
    <t>8A13</t>
  </si>
  <si>
    <t>Information flags</t>
  </si>
  <si>
    <t>25 Alarm flags</t>
  </si>
  <si>
    <t>8A19</t>
  </si>
  <si>
    <t>Warning flags</t>
  </si>
  <si>
    <t xml:space="preserve">64 bits flags </t>
  </si>
  <si>
    <t>8A1F</t>
  </si>
  <si>
    <t>Alarm flags (simple and complex)</t>
  </si>
  <si>
    <t>64 bits flags (25 Alarm flags used)</t>
  </si>
  <si>
    <t>8A25</t>
  </si>
  <si>
    <t>Data Reading - Alarms</t>
  </si>
  <si>
    <t>Transformer ratios</t>
  </si>
  <si>
    <t>CT L1,L2,L3 ratio (Numerator)</t>
  </si>
  <si>
    <t>8C00</t>
  </si>
  <si>
    <t>Configuration - Installation</t>
  </si>
  <si>
    <t>CT L1,L2,L3 ratio (Denominator)</t>
  </si>
  <si>
    <t>8C02</t>
  </si>
  <si>
    <t>VT ratio (Numerator)</t>
  </si>
  <si>
    <t>8C04</t>
  </si>
  <si>
    <t>VT ratio (Denominator)</t>
  </si>
  <si>
    <t>8C06</t>
  </si>
  <si>
    <t>CT Neutral ratio (Numerator)</t>
  </si>
  <si>
    <t>8C08</t>
  </si>
  <si>
    <t>CT Neutral ratio (Denominator)</t>
  </si>
  <si>
    <t>8C0A</t>
  </si>
  <si>
    <t>I/O settings - Function</t>
  </si>
  <si>
    <t>I/O port 1</t>
  </si>
  <si>
    <t>8C0C</t>
  </si>
  <si>
    <t>Configuration - I/O</t>
  </si>
  <si>
    <t>I/O port 2</t>
  </si>
  <si>
    <t>8C0D</t>
  </si>
  <si>
    <t>I/O settings - Pulse input/output instance</t>
  </si>
  <si>
    <t>Pulse input/output instance</t>
  </si>
  <si>
    <t>8C12</t>
  </si>
  <si>
    <t>I/O settings - Pulse outputs configuration</t>
  </si>
  <si>
    <t>Port number</t>
  </si>
  <si>
    <t>8C13</t>
  </si>
  <si>
    <t>OBIS code</t>
  </si>
  <si>
    <t>Energy parameter</t>
  </si>
  <si>
    <t>8C14</t>
  </si>
  <si>
    <t>Pulse frequency active energy</t>
  </si>
  <si>
    <t>8C17</t>
  </si>
  <si>
    <t>Pulse frequency reactive energy</t>
  </si>
  <si>
    <t>8C19</t>
  </si>
  <si>
    <t>milliseconds</t>
  </si>
  <si>
    <t>Pulse length</t>
  </si>
  <si>
    <t>8C1B</t>
  </si>
  <si>
    <t>Turn off pulse output</t>
  </si>
  <si>
    <t>8C1D</t>
  </si>
  <si>
    <t>Load profile settings</t>
  </si>
  <si>
    <t>Channel number</t>
  </si>
  <si>
    <t>8C20</t>
  </si>
  <si>
    <t>Configuration - Historicals</t>
  </si>
  <si>
    <t>8C21</t>
  </si>
  <si>
    <t>minutes</t>
  </si>
  <si>
    <t>Interval</t>
  </si>
  <si>
    <t>8C24</t>
  </si>
  <si>
    <t>Max number of snapshot</t>
  </si>
  <si>
    <t>8C26</t>
  </si>
  <si>
    <t>Max/Min Demand settings</t>
  </si>
  <si>
    <t>Number of quantities</t>
  </si>
  <si>
    <t>8C30</t>
  </si>
  <si>
    <t>Parameter number</t>
  </si>
  <si>
    <t>8C31</t>
  </si>
  <si>
    <t>8C32</t>
  </si>
  <si>
    <t>Level of Min/Max</t>
  </si>
  <si>
    <t>8C35</t>
  </si>
  <si>
    <t>Number of levels</t>
  </si>
  <si>
    <t>8C38</t>
  </si>
  <si>
    <t>8C39</t>
  </si>
  <si>
    <t>Sub interval</t>
  </si>
  <si>
    <t>8C3A</t>
  </si>
  <si>
    <t>Period</t>
  </si>
  <si>
    <t>8C3B</t>
  </si>
  <si>
    <t>Energy Cumulative/Snapshots settings</t>
  </si>
  <si>
    <t>Number of channel</t>
  </si>
  <si>
    <t>8C50</t>
  </si>
  <si>
    <t>8C51</t>
  </si>
  <si>
    <t>Quantity</t>
  </si>
  <si>
    <t>8C52</t>
  </si>
  <si>
    <t>8C55</t>
  </si>
  <si>
    <t>Alarm settings</t>
  </si>
  <si>
    <t>Channel alarm number</t>
  </si>
  <si>
    <t>8C60</t>
  </si>
  <si>
    <t>Configuration - Alarms</t>
  </si>
  <si>
    <t>Threshold</t>
  </si>
  <si>
    <t>Hysteresis</t>
  </si>
  <si>
    <t>seconds</t>
  </si>
  <si>
    <t>Delays</t>
  </si>
  <si>
    <t>Type of alarm</t>
  </si>
  <si>
    <t>Action - alarm triggered</t>
  </si>
  <si>
    <t>CO2 conversion factor actIive energy</t>
  </si>
  <si>
    <t>Range: 0.001 - 9.999</t>
  </si>
  <si>
    <t>8CE0</t>
  </si>
  <si>
    <t>Configuration - Energy Conversion</t>
  </si>
  <si>
    <t>Currency conversion factor active enenrgy</t>
  </si>
  <si>
    <t>Range: 0.001 - 999999.000</t>
  </si>
  <si>
    <t>8CE2</t>
  </si>
  <si>
    <t>LED source</t>
  </si>
  <si>
    <t>0 = Active energy, 1 = Reactive energy</t>
  </si>
  <si>
    <t>8CE4</t>
  </si>
  <si>
    <t>Wires</t>
  </si>
  <si>
    <t>8CE5</t>
  </si>
  <si>
    <t>Modbus TCP/IP</t>
  </si>
  <si>
    <t>DHCP: 0-disable; 1- enable</t>
  </si>
  <si>
    <t>8CEF</t>
  </si>
  <si>
    <t>Configuration - Communication</t>
  </si>
  <si>
    <t>IP: A.B.C.D -&gt; 0xAABBCCDD</t>
  </si>
  <si>
    <t>8CF0</t>
  </si>
  <si>
    <t>Mask: A.B.C.D -&gt; 0xAABBCCDD</t>
  </si>
  <si>
    <t>8CF2</t>
  </si>
  <si>
    <t>Gateway: A.B.C.D -&gt; 0xAABBCCDD</t>
  </si>
  <si>
    <t>8CF4</t>
  </si>
  <si>
    <t xml:space="preserve">TCP Port: 502(default), 0xFFFF (max value) </t>
  </si>
  <si>
    <t>8CF6</t>
  </si>
  <si>
    <t>Up/Down Counters</t>
  </si>
  <si>
    <t>Up Counter</t>
  </si>
  <si>
    <t>8CF7</t>
  </si>
  <si>
    <t>Data Reading - Timers</t>
  </si>
  <si>
    <t>Down Counter</t>
  </si>
  <si>
    <t>8CF9</t>
  </si>
  <si>
    <t>Down Counter Reset Value</t>
  </si>
  <si>
    <t>8CFB</t>
  </si>
  <si>
    <t>Configuration - Timers</t>
  </si>
  <si>
    <t>HMI Config</t>
  </si>
  <si>
    <t>Brightness (range: 0 - 255)</t>
  </si>
  <si>
    <t>8CFD</t>
  </si>
  <si>
    <t>Configuration - Unit</t>
  </si>
  <si>
    <t>Language (range: 0-max language number)</t>
  </si>
  <si>
    <t>8CFE</t>
  </si>
  <si>
    <t>Bluetooth Enable</t>
  </si>
  <si>
    <t>8EFC</t>
  </si>
  <si>
    <t>Reset Logs</t>
  </si>
  <si>
    <t>Write 1 to perform the reset</t>
  </si>
  <si>
    <t>8F57</t>
  </si>
  <si>
    <t>Configuration - Reset</t>
  </si>
  <si>
    <t>Reset historical functionality</t>
  </si>
  <si>
    <t>8F58</t>
  </si>
  <si>
    <t>Reset Timer</t>
  </si>
  <si>
    <t>8F59</t>
  </si>
  <si>
    <t>Reset Energy</t>
  </si>
  <si>
    <t>8F5A</t>
  </si>
  <si>
    <t>Reset Factory setting default</t>
  </si>
  <si>
    <t>8F5B</t>
  </si>
  <si>
    <t>Reset Max / Min / Average</t>
  </si>
  <si>
    <t>8F5C</t>
  </si>
  <si>
    <t>Max/Min Demand</t>
  </si>
  <si>
    <t>8F72</t>
  </si>
  <si>
    <t>Header - Entry number</t>
  </si>
  <si>
    <t>8F73</t>
  </si>
  <si>
    <t>Header - Date / time</t>
  </si>
  <si>
    <t>8F76</t>
  </si>
  <si>
    <t>8F79</t>
  </si>
  <si>
    <t>Data Block 1</t>
  </si>
  <si>
    <t>8F82</t>
  </si>
  <si>
    <t>Data Block 2</t>
  </si>
  <si>
    <t>Data Block 3</t>
  </si>
  <si>
    <t>Data Block 4</t>
  </si>
  <si>
    <t>Data Block 5</t>
  </si>
  <si>
    <t>Data Block 6</t>
  </si>
  <si>
    <t>Data Block 7</t>
  </si>
  <si>
    <t>Data Block 8</t>
  </si>
  <si>
    <t>Data Block 9</t>
  </si>
  <si>
    <t>Data Block 10</t>
  </si>
  <si>
    <t>Data Block 11</t>
  </si>
  <si>
    <t>Data Block 12</t>
  </si>
  <si>
    <t>Data Block 13</t>
  </si>
  <si>
    <t>Data Block 14</t>
  </si>
  <si>
    <t>Data Block 15</t>
  </si>
  <si>
    <t>Data Block 16</t>
  </si>
  <si>
    <t>Data Block 17</t>
  </si>
  <si>
    <t>Data Block 18</t>
  </si>
  <si>
    <t>Data Block 19</t>
  </si>
  <si>
    <t>Active power total Scaler 1</t>
  </si>
  <si>
    <t>Data value - available from FW version P1.3.10.0</t>
  </si>
  <si>
    <t>CB1A</t>
  </si>
  <si>
    <t>Active power L1 Scaler 1</t>
  </si>
  <si>
    <t>CB1C</t>
  </si>
  <si>
    <t>Active power L2 Scaler 1</t>
  </si>
  <si>
    <t>CB1E</t>
  </si>
  <si>
    <t>Active power L3 Scaler 1</t>
  </si>
  <si>
    <t>CB20</t>
  </si>
  <si>
    <t>Reactive power total Scaler 1</t>
  </si>
  <si>
    <t>VAR</t>
  </si>
  <si>
    <t>CB22</t>
  </si>
  <si>
    <t>Reactive power L1 Scaler 1</t>
  </si>
  <si>
    <t>CB24</t>
  </si>
  <si>
    <t>Reactive power L2 Scaler 1</t>
  </si>
  <si>
    <t>CB26</t>
  </si>
  <si>
    <t>Reactive power L3 Scaler 1</t>
  </si>
  <si>
    <t>CB28</t>
  </si>
  <si>
    <t>Apparent power total Scaler 1</t>
  </si>
  <si>
    <t>CB2A</t>
  </si>
  <si>
    <t>Apparent power L1 Scaler 1</t>
  </si>
  <si>
    <t>CB2C</t>
  </si>
  <si>
    <t>Apparent power L2 Scaler 1</t>
  </si>
  <si>
    <t>CB2E</t>
  </si>
  <si>
    <t>Apparent power L3 Scaler 1</t>
  </si>
  <si>
    <t>CB30</t>
  </si>
  <si>
    <t>Average Active power total Scaler 1</t>
  </si>
  <si>
    <t>CBE8</t>
  </si>
  <si>
    <t>Average Active power L1 Scaler 1</t>
  </si>
  <si>
    <t>CBEA</t>
  </si>
  <si>
    <t>Average Active power L2 Scaler 1</t>
  </si>
  <si>
    <t>CBEC</t>
  </si>
  <si>
    <t>Average Active power L3 Scaler 1</t>
  </si>
  <si>
    <t>CBEE</t>
  </si>
  <si>
    <t>Average Reactive power total Scaler 1</t>
  </si>
  <si>
    <t>CBF0</t>
  </si>
  <si>
    <t>Average Reactive power L1 Scaler 1</t>
  </si>
  <si>
    <t>CBF2</t>
  </si>
  <si>
    <t>Average Reactive power L2 Scaler 1</t>
  </si>
  <si>
    <t>CBF4</t>
  </si>
  <si>
    <t>Average Reactive power L3 Scaler 1</t>
  </si>
  <si>
    <t>CBF6</t>
  </si>
  <si>
    <t>Average Apparent power total Scaler 1</t>
  </si>
  <si>
    <t>CBF8</t>
  </si>
  <si>
    <t>Average Apparent power L1 Scaler 1</t>
  </si>
  <si>
    <t>CBFA</t>
  </si>
  <si>
    <t>Average Apparent power L2 Scaler 1</t>
  </si>
  <si>
    <t>CBFC</t>
  </si>
  <si>
    <t>Average Apparent power L3 Scaler 1</t>
  </si>
  <si>
    <t>CBFE</t>
  </si>
  <si>
    <t>Max Active power total Scaler 1</t>
  </si>
  <si>
    <t>CC24</t>
  </si>
  <si>
    <t>Max Active power L1 Scaler 1</t>
  </si>
  <si>
    <t>CC26</t>
  </si>
  <si>
    <t>Max Active power L2 Scaler 1</t>
  </si>
  <si>
    <t>CC28</t>
  </si>
  <si>
    <t>Max Active power L3 Scaler 1</t>
  </si>
  <si>
    <t>CC2A</t>
  </si>
  <si>
    <t>Max Reactive power total Scaler 1</t>
  </si>
  <si>
    <t>CC2C</t>
  </si>
  <si>
    <t>Max Reactive power L1 Scaler 1</t>
  </si>
  <si>
    <t>CC2E</t>
  </si>
  <si>
    <t>Max Reactive power L2 Scaler 1</t>
  </si>
  <si>
    <t>CC30</t>
  </si>
  <si>
    <t>Max Reactive power L3 Scaler 1</t>
  </si>
  <si>
    <t>CC32</t>
  </si>
  <si>
    <t>Max Apparent power total Scaler 1</t>
  </si>
  <si>
    <t>CC34</t>
  </si>
  <si>
    <t>Max Apparent power L1 Scaler 1</t>
  </si>
  <si>
    <t>CC36</t>
  </si>
  <si>
    <t>Max Apparent power L2 Scaler 1</t>
  </si>
  <si>
    <t>CC38</t>
  </si>
  <si>
    <t>Max Apparent power L3 Scaler 1</t>
  </si>
  <si>
    <t>CC3A</t>
  </si>
  <si>
    <t>Min Active power total Scaler 1</t>
  </si>
  <si>
    <t>CC9C</t>
  </si>
  <si>
    <t>Min Active power L1 Scaler 1</t>
  </si>
  <si>
    <t>CC9E</t>
  </si>
  <si>
    <t>Min Active power L2 Scaler 1</t>
  </si>
  <si>
    <t>CCA0</t>
  </si>
  <si>
    <t>Min Active power L3 Scaler 1</t>
  </si>
  <si>
    <t>CCA2</t>
  </si>
  <si>
    <t>Min Reactive power total Scaler 1</t>
  </si>
  <si>
    <t>CCA4</t>
  </si>
  <si>
    <t>Min Reactive power L1 Scaler 1</t>
  </si>
  <si>
    <t>CCA6</t>
  </si>
  <si>
    <t>Min Reactive power L2 Scaler 1</t>
  </si>
  <si>
    <t>CCA8</t>
  </si>
  <si>
    <t>Min Reactive power L3 Scaler 1</t>
  </si>
  <si>
    <t>CCAA</t>
  </si>
  <si>
    <t>Min Apparent power total Scaler 1</t>
  </si>
  <si>
    <t>CCAC</t>
  </si>
  <si>
    <t>Min Apparent power L1 Scaler 1</t>
  </si>
  <si>
    <t>CCAE</t>
  </si>
  <si>
    <t>Min Apparent power L2 Scaler 1</t>
  </si>
  <si>
    <t>CCB0</t>
  </si>
  <si>
    <t>Min Apparent power L3 Scaler 1</t>
  </si>
  <si>
    <t>CCB2</t>
  </si>
  <si>
    <t>Da implementare</t>
  </si>
  <si>
    <t>Fatte</t>
  </si>
  <si>
    <t>Inutili</t>
  </si>
  <si>
    <t>Registri di configurazione</t>
  </si>
  <si>
    <t>In lavorazione</t>
  </si>
  <si>
    <t>Simulati Python</t>
  </si>
  <si>
    <t>Data type</t>
  </si>
  <si>
    <t>Register</t>
  </si>
  <si>
    <t>Quantities</t>
  </si>
  <si>
    <t>Nr. of reg.</t>
  </si>
  <si>
    <t>Active energy</t>
  </si>
  <si>
    <t>Reactive energy</t>
  </si>
  <si>
    <t>Apparent energy</t>
  </si>
  <si>
    <t>Voltage L1-N</t>
  </si>
  <si>
    <t>Voltage L2-N</t>
  </si>
  <si>
    <t>Voltage L3-N</t>
  </si>
  <si>
    <t>Voltage L1-L2</t>
  </si>
  <si>
    <t>Voltage L3-L2</t>
  </si>
  <si>
    <t>Voltage L1-L3</t>
  </si>
  <si>
    <t>Current L1</t>
  </si>
  <si>
    <t>Current L2</t>
  </si>
  <si>
    <t>Current L3</t>
  </si>
  <si>
    <t>Current N</t>
  </si>
  <si>
    <t>Active power total</t>
  </si>
  <si>
    <t>Active power L1</t>
  </si>
  <si>
    <t>Active power L2</t>
  </si>
  <si>
    <t>Active power L3</t>
  </si>
  <si>
    <t>Reactive power total</t>
  </si>
  <si>
    <t>Reactive power L1</t>
  </si>
  <si>
    <t>Reactive power L2</t>
  </si>
  <si>
    <t>Reactive power L3</t>
  </si>
  <si>
    <t>Apparent power total</t>
  </si>
  <si>
    <t>Apparent power L1</t>
  </si>
  <si>
    <t>Apparent power L2</t>
  </si>
  <si>
    <t>Apparent power L3</t>
  </si>
  <si>
    <t>Power factor total</t>
  </si>
  <si>
    <t>Power factor L1</t>
  </si>
  <si>
    <t>Power factor L2</t>
  </si>
  <si>
    <t>Power factor L3</t>
  </si>
  <si>
    <t>Cosphi total</t>
  </si>
  <si>
    <t>Cosphi L1</t>
  </si>
  <si>
    <t>Cosphi L2</t>
  </si>
  <si>
    <t>Cosphi 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</si>
</sst>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Arial"/>
    </font>
    <font/>
    <font>
      <b/>
      <sz val="10.0"/>
      <color theme="1"/>
      <name val="Arial"/>
    </font>
    <font>
      <b/>
      <sz val="16.0"/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sz val="10.0"/>
      <color rgb="FFFF0000"/>
      <name val="Arial"/>
    </font>
    <font>
      <color theme="1"/>
      <name val="Calibri"/>
      <scheme val="minor"/>
    </font>
    <font>
      <color rgb="FF66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4" fontId="3" numFmtId="0" xfId="0" applyBorder="1" applyFill="1" applyFont="1"/>
    <xf borderId="1" fillId="5" fontId="4" numFmtId="0" xfId="0" applyAlignment="1" applyBorder="1" applyFill="1" applyFont="1">
      <alignment horizontal="center" textRotation="0" vertical="center"/>
    </xf>
    <xf borderId="2" fillId="4" fontId="5" numFmtId="0" xfId="0" applyAlignment="1" applyBorder="1" applyFont="1">
      <alignment vertical="bottom"/>
    </xf>
    <xf borderId="2" fillId="4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 vertical="center"/>
    </xf>
    <xf borderId="2" fillId="6" fontId="3" numFmtId="0" xfId="0" applyBorder="1" applyFill="1" applyFont="1"/>
    <xf borderId="4" fillId="0" fontId="2" numFmtId="0" xfId="0" applyBorder="1" applyFont="1"/>
    <xf borderId="2" fillId="6" fontId="6" numFmtId="0" xfId="0" applyAlignment="1" applyBorder="1" applyFont="1">
      <alignment vertical="bottom"/>
    </xf>
    <xf borderId="2" fillId="6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 vertical="center"/>
    </xf>
    <xf borderId="2" fillId="6" fontId="5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2" fillId="5" fontId="7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readingOrder="0" shrinkToFit="0" textRotation="0" vertical="center" wrapText="1"/>
    </xf>
    <xf borderId="2" fillId="0" fontId="3" numFmtId="0" xfId="0" applyBorder="1" applyFont="1"/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vertical="bottom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shrinkToFit="0" textRotation="0" vertical="center" wrapText="1"/>
    </xf>
    <xf borderId="2" fillId="7" fontId="6" numFmtId="0" xfId="0" applyAlignment="1" applyBorder="1" applyFill="1" applyFont="1">
      <alignment readingOrder="0" vertical="bottom"/>
    </xf>
    <xf borderId="2" fillId="4" fontId="3" numFmtId="0" xfId="0" applyAlignment="1" applyBorder="1" applyFont="1">
      <alignment readingOrder="0"/>
    </xf>
    <xf borderId="1" fillId="4" fontId="1" numFmtId="0" xfId="0" applyAlignment="1" applyBorder="1" applyFont="1">
      <alignment horizontal="center" shrinkToFit="0" vertical="center" wrapText="1"/>
    </xf>
    <xf borderId="2" fillId="4" fontId="3" numFmtId="49" xfId="0" applyAlignment="1" applyBorder="1" applyFont="1" applyNumberFormat="1">
      <alignment horizontal="center"/>
    </xf>
    <xf borderId="1" fillId="5" fontId="8" numFmtId="0" xfId="0" applyAlignment="1" applyBorder="1" applyFont="1">
      <alignment horizontal="center" readingOrder="0" vertical="center"/>
    </xf>
    <xf borderId="2" fillId="8" fontId="3" numFmtId="0" xfId="0" applyBorder="1" applyFill="1" applyFont="1"/>
    <xf borderId="2" fillId="8" fontId="6" numFmtId="0" xfId="0" applyAlignment="1" applyBorder="1" applyFont="1">
      <alignment vertical="bottom"/>
    </xf>
    <xf borderId="2" fillId="8" fontId="3" numFmtId="0" xfId="0" applyAlignment="1" applyBorder="1" applyFont="1">
      <alignment horizontal="center"/>
    </xf>
    <xf borderId="2" fillId="8" fontId="3" numFmtId="0" xfId="0" applyAlignment="1" applyBorder="1" applyFont="1">
      <alignment horizontal="center" vertical="center"/>
    </xf>
    <xf borderId="2" fillId="8" fontId="6" numFmtId="49" xfId="0" applyAlignment="1" applyBorder="1" applyFont="1" applyNumberFormat="1">
      <alignment vertical="bottom"/>
    </xf>
    <xf borderId="2" fillId="8" fontId="3" numFmtId="49" xfId="0" applyBorder="1" applyFont="1" applyNumberFormat="1"/>
    <xf borderId="2" fillId="9" fontId="3" numFmtId="0" xfId="0" applyBorder="1" applyFill="1" applyFont="1"/>
    <xf borderId="2" fillId="9" fontId="6" numFmtId="0" xfId="0" applyAlignment="1" applyBorder="1" applyFont="1">
      <alignment vertical="bottom"/>
    </xf>
    <xf borderId="2" fillId="9" fontId="3" numFmtId="0" xfId="0" applyAlignment="1" applyBorder="1" applyFont="1">
      <alignment horizontal="center"/>
    </xf>
    <xf borderId="2" fillId="9" fontId="3" numFmtId="0" xfId="0" applyAlignment="1" applyBorder="1" applyFont="1">
      <alignment horizontal="center" vertical="center"/>
    </xf>
    <xf borderId="2" fillId="8" fontId="9" numFmtId="0" xfId="0" applyBorder="1" applyFont="1"/>
    <xf borderId="2" fillId="0" fontId="10" numFmtId="0" xfId="0" applyBorder="1" applyFont="1"/>
    <xf borderId="2" fillId="0" fontId="6" numFmtId="0" xfId="0" applyAlignment="1" applyBorder="1" applyFont="1">
      <alignment vertical="bottom"/>
    </xf>
    <xf borderId="2" fillId="0" fontId="6" numFmtId="0" xfId="0" applyBorder="1" applyFont="1"/>
    <xf borderId="2" fillId="0" fontId="10" numFmtId="0" xfId="0" applyAlignment="1" applyBorder="1" applyFont="1">
      <alignment readingOrder="0"/>
    </xf>
    <xf borderId="2" fillId="10" fontId="10" numFmtId="0" xfId="0" applyBorder="1" applyFill="1" applyFont="1"/>
    <xf borderId="2" fillId="4" fontId="10" numFmtId="0" xfId="0" applyBorder="1" applyFont="1"/>
    <xf borderId="2" fillId="6" fontId="11" numFmtId="0" xfId="0" applyBorder="1" applyFont="1"/>
    <xf borderId="2" fillId="8" fontId="10" numFmtId="0" xfId="0" applyBorder="1" applyFont="1"/>
    <xf borderId="2" fillId="9" fontId="10" numFmtId="0" xfId="0" applyBorder="1" applyFont="1"/>
    <xf borderId="2" fillId="5" fontId="10" numFmtId="0" xfId="0" applyBorder="1" applyFont="1"/>
    <xf borderId="2" fillId="11" fontId="3" numFmtId="0" xfId="0" applyAlignment="1" applyBorder="1" applyFill="1" applyFont="1">
      <alignment readingOrder="0"/>
    </xf>
    <xf borderId="2" fillId="11" fontId="4" numFmtId="0" xfId="0" applyAlignment="1" applyBorder="1" applyFont="1">
      <alignment horizontal="center" textRotation="0" vertical="center"/>
    </xf>
    <xf borderId="2" fillId="11" fontId="3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 textRotation="0" vertical="center"/>
    </xf>
    <xf borderId="2" fillId="11" fontId="3" numFmtId="0" xfId="0" applyBorder="1" applyFont="1"/>
    <xf borderId="2" fillId="11" fontId="3" numFmtId="0" xfId="0" applyAlignment="1" applyBorder="1" applyFont="1">
      <alignment horizontal="center"/>
    </xf>
    <xf borderId="2" fillId="11" fontId="7" numFmtId="0" xfId="0" applyAlignment="1" applyBorder="1" applyFont="1">
      <alignment horizontal="center" readingOrder="0" vertical="bottom"/>
    </xf>
    <xf borderId="1" fillId="11" fontId="8" numFmtId="0" xfId="0" applyAlignment="1" applyBorder="1" applyFont="1">
      <alignment horizontal="center" readingOrder="0" shrinkToFit="0" textRotation="0" vertical="center" wrapText="1"/>
    </xf>
    <xf borderId="1" fillId="11" fontId="1" numFmtId="0" xfId="0" applyAlignment="1" applyBorder="1" applyFont="1">
      <alignment horizontal="center" shrinkToFit="0" vertical="center" wrapText="1"/>
    </xf>
    <xf borderId="2" fillId="11" fontId="3" numFmtId="49" xfId="0" applyAlignment="1" applyBorder="1" applyFont="1" applyNumberFormat="1">
      <alignment horizontal="center"/>
    </xf>
    <xf borderId="1" fillId="11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4.86"/>
    <col customWidth="1" min="2" max="2" width="21.86"/>
    <col customWidth="1" min="3" max="3" width="20.0"/>
    <col customWidth="1" min="4" max="4" width="22.0"/>
    <col customWidth="1" min="5" max="5" width="29.57"/>
    <col customWidth="1" min="6" max="6" width="15.43"/>
    <col customWidth="1" min="7" max="7" width="14.57"/>
    <col customWidth="1" min="8" max="8" width="11.57"/>
    <col customWidth="1" min="9" max="9" width="18.43"/>
    <col customWidth="1" min="10" max="10" width="22.71"/>
    <col customWidth="1" min="11" max="11" width="8.29"/>
    <col customWidth="1" min="12" max="12" width="21.43"/>
    <col customWidth="1" min="13" max="13" width="36.0"/>
    <col customWidth="1" min="14" max="14" width="34.86"/>
    <col customWidth="1" min="15" max="26" width="8.71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9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13</v>
      </c>
      <c r="B3" s="6" t="s">
        <v>14</v>
      </c>
      <c r="C3" s="7" t="s">
        <v>15</v>
      </c>
      <c r="D3" s="5" t="s">
        <v>16</v>
      </c>
      <c r="E3" s="5"/>
      <c r="F3" s="5">
        <v>0.01</v>
      </c>
      <c r="G3" s="5" t="s">
        <v>17</v>
      </c>
      <c r="H3" s="5" t="s">
        <v>18</v>
      </c>
      <c r="I3" s="8">
        <v>5000.0</v>
      </c>
      <c r="J3" s="8">
        <v>1.0</v>
      </c>
      <c r="K3" s="8">
        <v>4.0</v>
      </c>
      <c r="L3" s="8">
        <v>4.0</v>
      </c>
      <c r="M3" s="9" t="s">
        <v>19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20</v>
      </c>
      <c r="B4" s="11"/>
      <c r="C4" s="12"/>
      <c r="D4" s="10" t="s">
        <v>16</v>
      </c>
      <c r="E4" s="10"/>
      <c r="F4" s="10">
        <v>0.01</v>
      </c>
      <c r="G4" s="10" t="s">
        <v>17</v>
      </c>
      <c r="H4" s="10" t="s">
        <v>18</v>
      </c>
      <c r="I4" s="13" t="s">
        <v>21</v>
      </c>
      <c r="J4" s="13">
        <v>1.0</v>
      </c>
      <c r="K4" s="13">
        <v>4.0</v>
      </c>
      <c r="L4" s="13">
        <v>4.0</v>
      </c>
      <c r="M4" s="14" t="s">
        <v>19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 t="s">
        <v>22</v>
      </c>
      <c r="B5" s="11"/>
      <c r="C5" s="12"/>
      <c r="D5" s="10" t="s">
        <v>16</v>
      </c>
      <c r="E5" s="10"/>
      <c r="F5" s="10">
        <v>0.01</v>
      </c>
      <c r="G5" s="10" t="s">
        <v>23</v>
      </c>
      <c r="H5" s="10" t="s">
        <v>18</v>
      </c>
      <c r="I5" s="13" t="s">
        <v>24</v>
      </c>
      <c r="J5" s="13">
        <v>1.0</v>
      </c>
      <c r="K5" s="13">
        <v>4.0</v>
      </c>
      <c r="L5" s="13">
        <v>4.0</v>
      </c>
      <c r="M5" s="14" t="s">
        <v>19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 t="s">
        <v>25</v>
      </c>
      <c r="B6" s="11"/>
      <c r="C6" s="7" t="s">
        <v>15</v>
      </c>
      <c r="D6" s="5" t="s">
        <v>26</v>
      </c>
      <c r="E6" s="5"/>
      <c r="F6" s="5">
        <v>0.01</v>
      </c>
      <c r="G6" s="5" t="s">
        <v>17</v>
      </c>
      <c r="H6" s="5" t="s">
        <v>18</v>
      </c>
      <c r="I6" s="8" t="s">
        <v>27</v>
      </c>
      <c r="J6" s="8">
        <v>1.0</v>
      </c>
      <c r="K6" s="8">
        <v>4.0</v>
      </c>
      <c r="L6" s="8">
        <v>4.0</v>
      </c>
      <c r="M6" s="9" t="s">
        <v>19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28</v>
      </c>
      <c r="B7" s="11"/>
      <c r="C7" s="12"/>
      <c r="D7" s="10" t="s">
        <v>26</v>
      </c>
      <c r="E7" s="10"/>
      <c r="F7" s="10">
        <v>0.01</v>
      </c>
      <c r="G7" s="10" t="s">
        <v>17</v>
      </c>
      <c r="H7" s="10" t="s">
        <v>18</v>
      </c>
      <c r="I7" s="13" t="s">
        <v>29</v>
      </c>
      <c r="J7" s="13">
        <v>1.0</v>
      </c>
      <c r="K7" s="13">
        <v>4.0</v>
      </c>
      <c r="L7" s="13">
        <v>4.0</v>
      </c>
      <c r="M7" s="14" t="s">
        <v>19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 t="s">
        <v>30</v>
      </c>
      <c r="B8" s="11"/>
      <c r="C8" s="12"/>
      <c r="D8" s="10" t="s">
        <v>26</v>
      </c>
      <c r="E8" s="10"/>
      <c r="F8" s="10">
        <v>0.01</v>
      </c>
      <c r="G8" s="10" t="s">
        <v>23</v>
      </c>
      <c r="H8" s="10" t="s">
        <v>18</v>
      </c>
      <c r="I8" s="13" t="s">
        <v>31</v>
      </c>
      <c r="J8" s="13">
        <v>1.0</v>
      </c>
      <c r="K8" s="13">
        <v>4.0</v>
      </c>
      <c r="L8" s="13">
        <v>4.0</v>
      </c>
      <c r="M8" s="14" t="s">
        <v>19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 t="s">
        <v>32</v>
      </c>
      <c r="B9" s="11"/>
      <c r="C9" s="7" t="s">
        <v>15</v>
      </c>
      <c r="D9" s="5" t="s">
        <v>33</v>
      </c>
      <c r="E9" s="5"/>
      <c r="F9" s="5">
        <v>0.01</v>
      </c>
      <c r="G9" s="5" t="s">
        <v>17</v>
      </c>
      <c r="H9" s="5" t="s">
        <v>18</v>
      </c>
      <c r="I9" s="8" t="s">
        <v>34</v>
      </c>
      <c r="J9" s="8">
        <v>1.0</v>
      </c>
      <c r="K9" s="8">
        <v>4.0</v>
      </c>
      <c r="L9" s="8">
        <v>4.0</v>
      </c>
      <c r="M9" s="9" t="s">
        <v>19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35</v>
      </c>
      <c r="B10" s="11"/>
      <c r="C10" s="12"/>
      <c r="D10" s="10" t="s">
        <v>33</v>
      </c>
      <c r="E10" s="10"/>
      <c r="F10" s="10">
        <v>0.01</v>
      </c>
      <c r="G10" s="10" t="s">
        <v>17</v>
      </c>
      <c r="H10" s="10" t="s">
        <v>18</v>
      </c>
      <c r="I10" s="13" t="s">
        <v>36</v>
      </c>
      <c r="J10" s="13">
        <v>1.0</v>
      </c>
      <c r="K10" s="13">
        <v>4.0</v>
      </c>
      <c r="L10" s="13">
        <v>4.0</v>
      </c>
      <c r="M10" s="14" t="s">
        <v>19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 t="s">
        <v>37</v>
      </c>
      <c r="B11" s="11"/>
      <c r="C11" s="12"/>
      <c r="D11" s="10" t="s">
        <v>33</v>
      </c>
      <c r="E11" s="10"/>
      <c r="F11" s="10">
        <v>0.01</v>
      </c>
      <c r="G11" s="10" t="s">
        <v>23</v>
      </c>
      <c r="H11" s="10" t="s">
        <v>18</v>
      </c>
      <c r="I11" s="13" t="s">
        <v>38</v>
      </c>
      <c r="J11" s="13">
        <v>1.0</v>
      </c>
      <c r="K11" s="13">
        <v>4.0</v>
      </c>
      <c r="L11" s="13">
        <v>4.0</v>
      </c>
      <c r="M11" s="14" t="s">
        <v>19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 t="s">
        <v>13</v>
      </c>
      <c r="B12" s="11"/>
      <c r="C12" s="15" t="s">
        <v>39</v>
      </c>
      <c r="D12" s="10" t="s">
        <v>40</v>
      </c>
      <c r="E12" s="10" t="s">
        <v>41</v>
      </c>
      <c r="F12" s="10">
        <v>0.001</v>
      </c>
      <c r="G12" s="10" t="s">
        <v>17</v>
      </c>
      <c r="H12" s="10" t="s">
        <v>18</v>
      </c>
      <c r="I12" s="13" t="s">
        <v>42</v>
      </c>
      <c r="J12" s="13">
        <v>1.0</v>
      </c>
      <c r="K12" s="13">
        <v>4.0</v>
      </c>
      <c r="L12" s="13">
        <v>4.0</v>
      </c>
      <c r="M12" s="14" t="s">
        <v>43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 t="s">
        <v>13</v>
      </c>
      <c r="B13" s="11"/>
      <c r="C13" s="15" t="s">
        <v>39</v>
      </c>
      <c r="D13" s="10" t="s">
        <v>44</v>
      </c>
      <c r="E13" s="10" t="s">
        <v>45</v>
      </c>
      <c r="F13" s="10">
        <v>0.001</v>
      </c>
      <c r="G13" s="10" t="s">
        <v>17</v>
      </c>
      <c r="H13" s="10" t="s">
        <v>18</v>
      </c>
      <c r="I13" s="13" t="s">
        <v>46</v>
      </c>
      <c r="J13" s="13">
        <v>1.0</v>
      </c>
      <c r="K13" s="13">
        <v>4.0</v>
      </c>
      <c r="L13" s="13">
        <v>4.0</v>
      </c>
      <c r="M13" s="14" t="s">
        <v>43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" t="s">
        <v>13</v>
      </c>
      <c r="B14" s="11"/>
      <c r="C14" s="16"/>
      <c r="D14" s="5" t="s">
        <v>16</v>
      </c>
      <c r="E14" s="5" t="s">
        <v>47</v>
      </c>
      <c r="F14" s="5">
        <v>0.01</v>
      </c>
      <c r="G14" s="5" t="s">
        <v>17</v>
      </c>
      <c r="H14" s="5" t="s">
        <v>18</v>
      </c>
      <c r="I14" s="8" t="s">
        <v>48</v>
      </c>
      <c r="J14" s="8">
        <v>3.0</v>
      </c>
      <c r="K14" s="8">
        <v>4.0</v>
      </c>
      <c r="L14" s="8">
        <v>12.0</v>
      </c>
      <c r="M14" s="9" t="s">
        <v>49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20</v>
      </c>
      <c r="B15" s="11"/>
      <c r="C15" s="12"/>
      <c r="D15" s="10" t="s">
        <v>16</v>
      </c>
      <c r="E15" s="10" t="s">
        <v>47</v>
      </c>
      <c r="F15" s="10">
        <v>0.01</v>
      </c>
      <c r="G15" s="10" t="s">
        <v>17</v>
      </c>
      <c r="H15" s="10" t="s">
        <v>18</v>
      </c>
      <c r="I15" s="13" t="s">
        <v>50</v>
      </c>
      <c r="J15" s="13">
        <v>3.0</v>
      </c>
      <c r="K15" s="13">
        <v>4.0</v>
      </c>
      <c r="L15" s="13">
        <v>12.0</v>
      </c>
      <c r="M15" s="14" t="s">
        <v>49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 t="s">
        <v>22</v>
      </c>
      <c r="B16" s="11"/>
      <c r="C16" s="12"/>
      <c r="D16" s="10" t="s">
        <v>16</v>
      </c>
      <c r="E16" s="10" t="s">
        <v>47</v>
      </c>
      <c r="F16" s="10">
        <v>0.01</v>
      </c>
      <c r="G16" s="10" t="s">
        <v>23</v>
      </c>
      <c r="H16" s="10" t="s">
        <v>18</v>
      </c>
      <c r="I16" s="13" t="s">
        <v>51</v>
      </c>
      <c r="J16" s="13">
        <v>3.0</v>
      </c>
      <c r="K16" s="13">
        <v>4.0</v>
      </c>
      <c r="L16" s="13">
        <v>12.0</v>
      </c>
      <c r="M16" s="14" t="s">
        <v>49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 t="s">
        <v>25</v>
      </c>
      <c r="B17" s="11"/>
      <c r="C17" s="16"/>
      <c r="D17" s="5" t="s">
        <v>26</v>
      </c>
      <c r="E17" s="5" t="s">
        <v>47</v>
      </c>
      <c r="F17" s="5">
        <v>0.01</v>
      </c>
      <c r="G17" s="5" t="s">
        <v>17</v>
      </c>
      <c r="H17" s="5" t="s">
        <v>18</v>
      </c>
      <c r="I17" s="8" t="s">
        <v>52</v>
      </c>
      <c r="J17" s="8">
        <v>3.0</v>
      </c>
      <c r="K17" s="8">
        <v>4.0</v>
      </c>
      <c r="L17" s="8">
        <v>12.0</v>
      </c>
      <c r="M17" s="9" t="s">
        <v>49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28</v>
      </c>
      <c r="B18" s="11"/>
      <c r="C18" s="12"/>
      <c r="D18" s="10" t="s">
        <v>26</v>
      </c>
      <c r="E18" s="10" t="s">
        <v>47</v>
      </c>
      <c r="F18" s="10">
        <v>0.01</v>
      </c>
      <c r="G18" s="10" t="s">
        <v>17</v>
      </c>
      <c r="H18" s="10" t="s">
        <v>18</v>
      </c>
      <c r="I18" s="13" t="s">
        <v>53</v>
      </c>
      <c r="J18" s="13">
        <v>3.0</v>
      </c>
      <c r="K18" s="13">
        <v>4.0</v>
      </c>
      <c r="L18" s="13">
        <v>12.0</v>
      </c>
      <c r="M18" s="14" t="s">
        <v>49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 t="s">
        <v>30</v>
      </c>
      <c r="B19" s="11"/>
      <c r="C19" s="12"/>
      <c r="D19" s="10" t="s">
        <v>26</v>
      </c>
      <c r="E19" s="10" t="s">
        <v>47</v>
      </c>
      <c r="F19" s="10">
        <v>0.01</v>
      </c>
      <c r="G19" s="10" t="s">
        <v>23</v>
      </c>
      <c r="H19" s="10" t="s">
        <v>18</v>
      </c>
      <c r="I19" s="13" t="s">
        <v>54</v>
      </c>
      <c r="J19" s="13">
        <v>3.0</v>
      </c>
      <c r="K19" s="13">
        <v>4.0</v>
      </c>
      <c r="L19" s="13">
        <v>12.0</v>
      </c>
      <c r="M19" s="14" t="s">
        <v>49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" t="s">
        <v>32</v>
      </c>
      <c r="B20" s="11"/>
      <c r="C20" s="16"/>
      <c r="D20" s="5" t="s">
        <v>33</v>
      </c>
      <c r="E20" s="5" t="s">
        <v>47</v>
      </c>
      <c r="F20" s="5">
        <v>0.01</v>
      </c>
      <c r="G20" s="5" t="s">
        <v>17</v>
      </c>
      <c r="H20" s="5" t="s">
        <v>18</v>
      </c>
      <c r="I20" s="8" t="s">
        <v>55</v>
      </c>
      <c r="J20" s="8">
        <v>3.0</v>
      </c>
      <c r="K20" s="8">
        <v>4.0</v>
      </c>
      <c r="L20" s="8">
        <v>12.0</v>
      </c>
      <c r="M20" s="9" t="s">
        <v>49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0" t="s">
        <v>35</v>
      </c>
      <c r="B21" s="11"/>
      <c r="C21" s="12"/>
      <c r="D21" s="10" t="s">
        <v>33</v>
      </c>
      <c r="E21" s="10" t="s">
        <v>47</v>
      </c>
      <c r="F21" s="10">
        <v>0.01</v>
      </c>
      <c r="G21" s="10" t="s">
        <v>17</v>
      </c>
      <c r="H21" s="10" t="s">
        <v>18</v>
      </c>
      <c r="I21" s="13" t="s">
        <v>56</v>
      </c>
      <c r="J21" s="13">
        <v>3.0</v>
      </c>
      <c r="K21" s="13">
        <v>4.0</v>
      </c>
      <c r="L21" s="13">
        <v>12.0</v>
      </c>
      <c r="M21" s="14" t="s">
        <v>49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 t="s">
        <v>37</v>
      </c>
      <c r="B22" s="4"/>
      <c r="C22" s="12"/>
      <c r="D22" s="10" t="s">
        <v>33</v>
      </c>
      <c r="E22" s="10" t="s">
        <v>47</v>
      </c>
      <c r="F22" s="10">
        <v>0.01</v>
      </c>
      <c r="G22" s="10" t="s">
        <v>23</v>
      </c>
      <c r="H22" s="10" t="s">
        <v>18</v>
      </c>
      <c r="I22" s="13" t="s">
        <v>57</v>
      </c>
      <c r="J22" s="13">
        <v>3.0</v>
      </c>
      <c r="K22" s="13">
        <v>4.0</v>
      </c>
      <c r="L22" s="13">
        <v>12.0</v>
      </c>
      <c r="M22" s="14" t="s">
        <v>49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" t="s">
        <v>58</v>
      </c>
      <c r="B23" s="6" t="s">
        <v>59</v>
      </c>
      <c r="C23" s="16"/>
      <c r="D23" s="5" t="s">
        <v>60</v>
      </c>
      <c r="E23" s="5"/>
      <c r="F23" s="5">
        <v>0.1</v>
      </c>
      <c r="G23" s="5" t="s">
        <v>17</v>
      </c>
      <c r="H23" s="5" t="s">
        <v>18</v>
      </c>
      <c r="I23" s="8" t="s">
        <v>61</v>
      </c>
      <c r="J23" s="8">
        <v>1.0</v>
      </c>
      <c r="K23" s="8">
        <v>2.0</v>
      </c>
      <c r="L23" s="8">
        <v>2.0</v>
      </c>
      <c r="M23" s="9" t="s">
        <v>62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 t="s">
        <v>63</v>
      </c>
      <c r="B24" s="11"/>
      <c r="C24" s="16"/>
      <c r="D24" s="5" t="s">
        <v>60</v>
      </c>
      <c r="E24" s="5" t="s">
        <v>64</v>
      </c>
      <c r="F24" s="5">
        <v>0.1</v>
      </c>
      <c r="G24" s="5" t="s">
        <v>17</v>
      </c>
      <c r="H24" s="5" t="s">
        <v>18</v>
      </c>
      <c r="I24" s="8" t="s">
        <v>65</v>
      </c>
      <c r="J24" s="8">
        <v>1.0</v>
      </c>
      <c r="K24" s="8">
        <v>2.0</v>
      </c>
      <c r="L24" s="8">
        <v>2.0</v>
      </c>
      <c r="M24" s="9" t="s">
        <v>62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 t="s">
        <v>66</v>
      </c>
      <c r="B25" s="11"/>
      <c r="C25" s="16"/>
      <c r="D25" s="5" t="s">
        <v>60</v>
      </c>
      <c r="E25" s="5" t="s">
        <v>67</v>
      </c>
      <c r="F25" s="5">
        <v>0.1</v>
      </c>
      <c r="G25" s="5" t="s">
        <v>17</v>
      </c>
      <c r="H25" s="5" t="s">
        <v>18</v>
      </c>
      <c r="I25" s="8" t="s">
        <v>68</v>
      </c>
      <c r="J25" s="8">
        <v>1.0</v>
      </c>
      <c r="K25" s="8">
        <v>2.0</v>
      </c>
      <c r="L25" s="8">
        <v>2.0</v>
      </c>
      <c r="M25" s="9" t="s">
        <v>62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 t="s">
        <v>69</v>
      </c>
      <c r="B26" s="11"/>
      <c r="C26" s="16"/>
      <c r="D26" s="5" t="s">
        <v>60</v>
      </c>
      <c r="E26" s="5" t="s">
        <v>70</v>
      </c>
      <c r="F26" s="5">
        <v>0.1</v>
      </c>
      <c r="G26" s="5" t="s">
        <v>17</v>
      </c>
      <c r="H26" s="5" t="s">
        <v>18</v>
      </c>
      <c r="I26" s="8" t="s">
        <v>71</v>
      </c>
      <c r="J26" s="8">
        <v>1.0</v>
      </c>
      <c r="K26" s="8">
        <v>2.0</v>
      </c>
      <c r="L26" s="8">
        <v>2.0</v>
      </c>
      <c r="M26" s="9" t="s">
        <v>62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 t="s">
        <v>72</v>
      </c>
      <c r="B27" s="11"/>
      <c r="C27" s="16"/>
      <c r="D27" s="5" t="s">
        <v>60</v>
      </c>
      <c r="E27" s="5" t="s">
        <v>73</v>
      </c>
      <c r="F27" s="5">
        <v>0.1</v>
      </c>
      <c r="G27" s="5" t="s">
        <v>17</v>
      </c>
      <c r="H27" s="5" t="s">
        <v>18</v>
      </c>
      <c r="I27" s="8" t="s">
        <v>74</v>
      </c>
      <c r="J27" s="8">
        <v>1.0</v>
      </c>
      <c r="K27" s="8">
        <v>2.0</v>
      </c>
      <c r="L27" s="8">
        <v>2.0</v>
      </c>
      <c r="M27" s="9" t="s">
        <v>62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 t="s">
        <v>75</v>
      </c>
      <c r="B28" s="11"/>
      <c r="C28" s="16"/>
      <c r="D28" s="5" t="s">
        <v>60</v>
      </c>
      <c r="E28" s="5" t="s">
        <v>76</v>
      </c>
      <c r="F28" s="5">
        <v>0.1</v>
      </c>
      <c r="G28" s="5" t="s">
        <v>17</v>
      </c>
      <c r="H28" s="5" t="s">
        <v>18</v>
      </c>
      <c r="I28" s="8" t="s">
        <v>77</v>
      </c>
      <c r="J28" s="8">
        <v>1.0</v>
      </c>
      <c r="K28" s="8">
        <v>2.0</v>
      </c>
      <c r="L28" s="8">
        <v>2.0</v>
      </c>
      <c r="M28" s="9" t="s">
        <v>62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 t="s">
        <v>78</v>
      </c>
      <c r="B29" s="4"/>
      <c r="C29" s="16"/>
      <c r="D29" s="5" t="s">
        <v>60</v>
      </c>
      <c r="E29" s="5" t="s">
        <v>79</v>
      </c>
      <c r="F29" s="5">
        <v>0.1</v>
      </c>
      <c r="G29" s="5" t="s">
        <v>17</v>
      </c>
      <c r="H29" s="5" t="s">
        <v>18</v>
      </c>
      <c r="I29" s="8" t="s">
        <v>80</v>
      </c>
      <c r="J29" s="8">
        <v>1.0</v>
      </c>
      <c r="K29" s="8">
        <v>2.0</v>
      </c>
      <c r="L29" s="8">
        <v>2.0</v>
      </c>
      <c r="M29" s="9" t="s">
        <v>62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 t="s">
        <v>81</v>
      </c>
      <c r="B30" s="6" t="s">
        <v>82</v>
      </c>
      <c r="C30" s="16"/>
      <c r="D30" s="5" t="s">
        <v>83</v>
      </c>
      <c r="E30" s="5"/>
      <c r="F30" s="5">
        <v>0.01</v>
      </c>
      <c r="G30" s="5" t="s">
        <v>17</v>
      </c>
      <c r="H30" s="5" t="s">
        <v>18</v>
      </c>
      <c r="I30" s="8" t="s">
        <v>84</v>
      </c>
      <c r="J30" s="8">
        <v>1.0</v>
      </c>
      <c r="K30" s="8">
        <v>2.0</v>
      </c>
      <c r="L30" s="8">
        <v>2.0</v>
      </c>
      <c r="M30" s="9" t="s">
        <v>62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 t="s">
        <v>85</v>
      </c>
      <c r="B31" s="11"/>
      <c r="C31" s="16"/>
      <c r="D31" s="5" t="s">
        <v>83</v>
      </c>
      <c r="E31" s="5" t="s">
        <v>64</v>
      </c>
      <c r="F31" s="5">
        <v>0.01</v>
      </c>
      <c r="G31" s="5" t="s">
        <v>17</v>
      </c>
      <c r="H31" s="5" t="s">
        <v>18</v>
      </c>
      <c r="I31" s="8" t="s">
        <v>86</v>
      </c>
      <c r="J31" s="8">
        <v>1.0</v>
      </c>
      <c r="K31" s="8">
        <v>2.0</v>
      </c>
      <c r="L31" s="8">
        <v>2.0</v>
      </c>
      <c r="M31" s="9" t="s">
        <v>62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 t="s">
        <v>85</v>
      </c>
      <c r="B32" s="11"/>
      <c r="C32" s="16"/>
      <c r="D32" s="5" t="s">
        <v>83</v>
      </c>
      <c r="E32" s="5" t="s">
        <v>67</v>
      </c>
      <c r="F32" s="5">
        <v>0.01</v>
      </c>
      <c r="G32" s="5" t="s">
        <v>17</v>
      </c>
      <c r="H32" s="5" t="s">
        <v>18</v>
      </c>
      <c r="I32" s="8" t="s">
        <v>87</v>
      </c>
      <c r="J32" s="8">
        <v>1.0</v>
      </c>
      <c r="K32" s="8">
        <v>2.0</v>
      </c>
      <c r="L32" s="8">
        <v>2.0</v>
      </c>
      <c r="M32" s="9" t="s">
        <v>62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 t="s">
        <v>85</v>
      </c>
      <c r="B33" s="11"/>
      <c r="C33" s="16"/>
      <c r="D33" s="5" t="s">
        <v>83</v>
      </c>
      <c r="E33" s="5" t="s">
        <v>70</v>
      </c>
      <c r="F33" s="5">
        <v>0.01</v>
      </c>
      <c r="G33" s="5" t="s">
        <v>17</v>
      </c>
      <c r="H33" s="5" t="s">
        <v>18</v>
      </c>
      <c r="I33" s="8" t="s">
        <v>88</v>
      </c>
      <c r="J33" s="8">
        <v>1.0</v>
      </c>
      <c r="K33" s="8">
        <v>2.0</v>
      </c>
      <c r="L33" s="8">
        <v>2.0</v>
      </c>
      <c r="M33" s="9" t="s">
        <v>62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 t="s">
        <v>85</v>
      </c>
      <c r="B34" s="4"/>
      <c r="C34" s="16"/>
      <c r="D34" s="5" t="s">
        <v>83</v>
      </c>
      <c r="E34" s="5" t="s">
        <v>89</v>
      </c>
      <c r="F34" s="5">
        <v>0.01</v>
      </c>
      <c r="G34" s="5" t="s">
        <v>17</v>
      </c>
      <c r="H34" s="5" t="s">
        <v>18</v>
      </c>
      <c r="I34" s="8" t="s">
        <v>90</v>
      </c>
      <c r="J34" s="8">
        <v>1.0</v>
      </c>
      <c r="K34" s="8">
        <v>2.0</v>
      </c>
      <c r="L34" s="8">
        <v>2.0</v>
      </c>
      <c r="M34" s="9" t="s">
        <v>62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 t="s">
        <v>91</v>
      </c>
      <c r="B35" s="6" t="s">
        <v>92</v>
      </c>
      <c r="C35" s="16"/>
      <c r="D35" s="5" t="s">
        <v>93</v>
      </c>
      <c r="E35" s="5" t="s">
        <v>94</v>
      </c>
      <c r="F35" s="5">
        <v>0.01</v>
      </c>
      <c r="G35" s="5" t="s">
        <v>23</v>
      </c>
      <c r="H35" s="5" t="s">
        <v>18</v>
      </c>
      <c r="I35" s="8" t="s">
        <v>95</v>
      </c>
      <c r="J35" s="8">
        <v>1.0</v>
      </c>
      <c r="K35" s="8">
        <v>2.0</v>
      </c>
      <c r="L35" s="8">
        <v>2.0</v>
      </c>
      <c r="M35" s="9" t="s">
        <v>62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 t="s">
        <v>91</v>
      </c>
      <c r="B36" s="11"/>
      <c r="C36" s="16"/>
      <c r="D36" s="5" t="s">
        <v>93</v>
      </c>
      <c r="E36" s="5" t="s">
        <v>64</v>
      </c>
      <c r="F36" s="5">
        <v>0.01</v>
      </c>
      <c r="G36" s="5" t="s">
        <v>23</v>
      </c>
      <c r="H36" s="5" t="s">
        <v>18</v>
      </c>
      <c r="I36" s="8" t="s">
        <v>96</v>
      </c>
      <c r="J36" s="8">
        <v>1.0</v>
      </c>
      <c r="K36" s="8">
        <v>2.0</v>
      </c>
      <c r="L36" s="8">
        <v>2.0</v>
      </c>
      <c r="M36" s="9" t="s">
        <v>62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 t="s">
        <v>91</v>
      </c>
      <c r="B37" s="11"/>
      <c r="C37" s="16"/>
      <c r="D37" s="5" t="s">
        <v>93</v>
      </c>
      <c r="E37" s="5" t="s">
        <v>67</v>
      </c>
      <c r="F37" s="5">
        <v>0.01</v>
      </c>
      <c r="G37" s="5" t="s">
        <v>23</v>
      </c>
      <c r="H37" s="5" t="s">
        <v>18</v>
      </c>
      <c r="I37" s="8" t="s">
        <v>97</v>
      </c>
      <c r="J37" s="8">
        <v>1.0</v>
      </c>
      <c r="K37" s="8">
        <v>2.0</v>
      </c>
      <c r="L37" s="8">
        <v>2.0</v>
      </c>
      <c r="M37" s="9" t="s">
        <v>62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 t="s">
        <v>91</v>
      </c>
      <c r="B38" s="11"/>
      <c r="C38" s="16"/>
      <c r="D38" s="5" t="s">
        <v>93</v>
      </c>
      <c r="E38" s="5" t="s">
        <v>70</v>
      </c>
      <c r="F38" s="5">
        <v>0.01</v>
      </c>
      <c r="G38" s="5" t="s">
        <v>23</v>
      </c>
      <c r="H38" s="5" t="s">
        <v>18</v>
      </c>
      <c r="I38" s="8" t="s">
        <v>98</v>
      </c>
      <c r="J38" s="8">
        <v>1.0</v>
      </c>
      <c r="K38" s="8">
        <v>2.0</v>
      </c>
      <c r="L38" s="8">
        <v>2.0</v>
      </c>
      <c r="M38" s="9" t="s">
        <v>62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99</v>
      </c>
      <c r="B39" s="11"/>
      <c r="C39" s="16"/>
      <c r="D39" s="5" t="s">
        <v>100</v>
      </c>
      <c r="E39" s="5" t="s">
        <v>94</v>
      </c>
      <c r="F39" s="5">
        <v>0.01</v>
      </c>
      <c r="G39" s="5" t="s">
        <v>23</v>
      </c>
      <c r="H39" s="5" t="s">
        <v>18</v>
      </c>
      <c r="I39" s="8" t="s">
        <v>101</v>
      </c>
      <c r="J39" s="8">
        <v>1.0</v>
      </c>
      <c r="K39" s="8">
        <v>2.0</v>
      </c>
      <c r="L39" s="8">
        <v>2.0</v>
      </c>
      <c r="M39" s="9" t="s">
        <v>62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99</v>
      </c>
      <c r="B40" s="11"/>
      <c r="C40" s="16"/>
      <c r="D40" s="5" t="s">
        <v>100</v>
      </c>
      <c r="E40" s="5" t="s">
        <v>64</v>
      </c>
      <c r="F40" s="5">
        <v>0.01</v>
      </c>
      <c r="G40" s="5" t="s">
        <v>23</v>
      </c>
      <c r="H40" s="5" t="s">
        <v>18</v>
      </c>
      <c r="I40" s="8" t="s">
        <v>102</v>
      </c>
      <c r="J40" s="8">
        <v>1.0</v>
      </c>
      <c r="K40" s="8">
        <v>2.0</v>
      </c>
      <c r="L40" s="8">
        <v>2.0</v>
      </c>
      <c r="M40" s="9" t="s">
        <v>62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99</v>
      </c>
      <c r="B41" s="11"/>
      <c r="C41" s="16"/>
      <c r="D41" s="5" t="s">
        <v>100</v>
      </c>
      <c r="E41" s="5" t="s">
        <v>67</v>
      </c>
      <c r="F41" s="5">
        <v>0.01</v>
      </c>
      <c r="G41" s="5" t="s">
        <v>23</v>
      </c>
      <c r="H41" s="5" t="s">
        <v>18</v>
      </c>
      <c r="I41" s="8" t="s">
        <v>103</v>
      </c>
      <c r="J41" s="8">
        <v>1.0</v>
      </c>
      <c r="K41" s="8">
        <v>2.0</v>
      </c>
      <c r="L41" s="8">
        <v>2.0</v>
      </c>
      <c r="M41" s="9" t="s">
        <v>62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 t="s">
        <v>99</v>
      </c>
      <c r="B42" s="11"/>
      <c r="C42" s="16"/>
      <c r="D42" s="5" t="s">
        <v>100</v>
      </c>
      <c r="E42" s="5" t="s">
        <v>70</v>
      </c>
      <c r="F42" s="5">
        <v>0.01</v>
      </c>
      <c r="G42" s="5" t="s">
        <v>23</v>
      </c>
      <c r="H42" s="5" t="s">
        <v>18</v>
      </c>
      <c r="I42" s="8" t="s">
        <v>104</v>
      </c>
      <c r="J42" s="8">
        <v>1.0</v>
      </c>
      <c r="K42" s="8">
        <v>2.0</v>
      </c>
      <c r="L42" s="8">
        <v>2.0</v>
      </c>
      <c r="M42" s="9" t="s">
        <v>62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 t="s">
        <v>105</v>
      </c>
      <c r="B43" s="11"/>
      <c r="C43" s="16"/>
      <c r="D43" s="5" t="s">
        <v>106</v>
      </c>
      <c r="E43" s="5" t="s">
        <v>94</v>
      </c>
      <c r="F43" s="5">
        <v>0.01</v>
      </c>
      <c r="G43" s="5" t="s">
        <v>23</v>
      </c>
      <c r="H43" s="5" t="s">
        <v>18</v>
      </c>
      <c r="I43" s="8" t="s">
        <v>107</v>
      </c>
      <c r="J43" s="8">
        <v>1.0</v>
      </c>
      <c r="K43" s="8">
        <v>2.0</v>
      </c>
      <c r="L43" s="8">
        <v>2.0</v>
      </c>
      <c r="M43" s="9" t="s">
        <v>62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105</v>
      </c>
      <c r="B44" s="11"/>
      <c r="C44" s="16"/>
      <c r="D44" s="5" t="s">
        <v>106</v>
      </c>
      <c r="E44" s="5" t="s">
        <v>64</v>
      </c>
      <c r="F44" s="5">
        <v>0.01</v>
      </c>
      <c r="G44" s="5" t="s">
        <v>23</v>
      </c>
      <c r="H44" s="5" t="s">
        <v>18</v>
      </c>
      <c r="I44" s="8" t="s">
        <v>108</v>
      </c>
      <c r="J44" s="8">
        <v>1.0</v>
      </c>
      <c r="K44" s="8">
        <v>2.0</v>
      </c>
      <c r="L44" s="8">
        <v>2.0</v>
      </c>
      <c r="M44" s="9" t="s">
        <v>62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105</v>
      </c>
      <c r="B45" s="11"/>
      <c r="C45" s="16"/>
      <c r="D45" s="5" t="s">
        <v>106</v>
      </c>
      <c r="E45" s="5" t="s">
        <v>67</v>
      </c>
      <c r="F45" s="5">
        <v>0.01</v>
      </c>
      <c r="G45" s="5" t="s">
        <v>23</v>
      </c>
      <c r="H45" s="5" t="s">
        <v>18</v>
      </c>
      <c r="I45" s="8" t="s">
        <v>109</v>
      </c>
      <c r="J45" s="8">
        <v>1.0</v>
      </c>
      <c r="K45" s="8">
        <v>2.0</v>
      </c>
      <c r="L45" s="8">
        <v>2.0</v>
      </c>
      <c r="M45" s="9" t="s">
        <v>62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 t="s">
        <v>105</v>
      </c>
      <c r="B46" s="4"/>
      <c r="C46" s="16"/>
      <c r="D46" s="5" t="s">
        <v>106</v>
      </c>
      <c r="E46" s="5" t="s">
        <v>70</v>
      </c>
      <c r="F46" s="5">
        <v>0.01</v>
      </c>
      <c r="G46" s="5" t="s">
        <v>23</v>
      </c>
      <c r="H46" s="5" t="s">
        <v>18</v>
      </c>
      <c r="I46" s="8" t="s">
        <v>110</v>
      </c>
      <c r="J46" s="8">
        <v>1.0</v>
      </c>
      <c r="K46" s="8">
        <v>2.0</v>
      </c>
      <c r="L46" s="8">
        <v>2.0</v>
      </c>
      <c r="M46" s="9" t="s">
        <v>62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 t="s">
        <v>111</v>
      </c>
      <c r="B47" s="17" t="s">
        <v>112</v>
      </c>
      <c r="C47" s="16"/>
      <c r="D47" s="5" t="s">
        <v>113</v>
      </c>
      <c r="E47" s="5"/>
      <c r="F47" s="5">
        <v>0.01</v>
      </c>
      <c r="G47" s="5" t="s">
        <v>17</v>
      </c>
      <c r="H47" s="5" t="s">
        <v>18</v>
      </c>
      <c r="I47" s="8" t="s">
        <v>114</v>
      </c>
      <c r="J47" s="8">
        <v>1.0</v>
      </c>
      <c r="K47" s="8">
        <v>1.0</v>
      </c>
      <c r="L47" s="8">
        <v>1.0</v>
      </c>
      <c r="M47" s="9" t="s">
        <v>62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115</v>
      </c>
      <c r="B48" s="18" t="s">
        <v>116</v>
      </c>
      <c r="C48" s="16"/>
      <c r="D48" s="5" t="s">
        <v>117</v>
      </c>
      <c r="E48" s="5" t="s">
        <v>118</v>
      </c>
      <c r="F48" s="5">
        <v>0.1</v>
      </c>
      <c r="G48" s="5" t="s">
        <v>23</v>
      </c>
      <c r="H48" s="5" t="s">
        <v>18</v>
      </c>
      <c r="I48" s="8" t="s">
        <v>119</v>
      </c>
      <c r="J48" s="8">
        <v>4.0</v>
      </c>
      <c r="K48" s="8">
        <v>1.0</v>
      </c>
      <c r="L48" s="8">
        <v>4.0</v>
      </c>
      <c r="M48" s="9" t="s">
        <v>62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120</v>
      </c>
      <c r="B49" s="11"/>
      <c r="C49" s="16"/>
      <c r="D49" s="5" t="s">
        <v>117</v>
      </c>
      <c r="E49" s="5" t="s">
        <v>47</v>
      </c>
      <c r="F49" s="5">
        <v>0.1</v>
      </c>
      <c r="G49" s="5" t="s">
        <v>23</v>
      </c>
      <c r="H49" s="5" t="s">
        <v>18</v>
      </c>
      <c r="I49" s="8" t="s">
        <v>121</v>
      </c>
      <c r="J49" s="8">
        <v>3.0</v>
      </c>
      <c r="K49" s="8">
        <v>1.0</v>
      </c>
      <c r="L49" s="8">
        <v>3.0</v>
      </c>
      <c r="M49" s="9" t="s">
        <v>62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 t="s">
        <v>122</v>
      </c>
      <c r="B50" s="11"/>
      <c r="C50" s="16"/>
      <c r="D50" s="5" t="s">
        <v>117</v>
      </c>
      <c r="E50" s="5" t="s">
        <v>47</v>
      </c>
      <c r="F50" s="5">
        <v>0.1</v>
      </c>
      <c r="G50" s="5" t="s">
        <v>23</v>
      </c>
      <c r="H50" s="5" t="s">
        <v>18</v>
      </c>
      <c r="I50" s="8" t="s">
        <v>123</v>
      </c>
      <c r="J50" s="8">
        <v>3.0</v>
      </c>
      <c r="K50" s="8">
        <v>1.0</v>
      </c>
      <c r="L50" s="8">
        <v>3.0</v>
      </c>
      <c r="M50" s="9" t="s">
        <v>62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124</v>
      </c>
      <c r="B51" s="11"/>
      <c r="C51" s="16"/>
      <c r="D51" s="5"/>
      <c r="E51" s="5" t="s">
        <v>94</v>
      </c>
      <c r="F51" s="5">
        <v>0.001</v>
      </c>
      <c r="G51" s="5" t="s">
        <v>23</v>
      </c>
      <c r="H51" s="5" t="s">
        <v>18</v>
      </c>
      <c r="I51" s="8" t="s">
        <v>125</v>
      </c>
      <c r="J51" s="8">
        <v>1.0</v>
      </c>
      <c r="K51" s="8">
        <v>1.0</v>
      </c>
      <c r="L51" s="8">
        <v>1.0</v>
      </c>
      <c r="M51" s="9" t="s">
        <v>62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124</v>
      </c>
      <c r="B52" s="11"/>
      <c r="C52" s="16"/>
      <c r="D52" s="5"/>
      <c r="E52" s="5" t="s">
        <v>64</v>
      </c>
      <c r="F52" s="5">
        <v>0.001</v>
      </c>
      <c r="G52" s="5" t="s">
        <v>23</v>
      </c>
      <c r="H52" s="5" t="s">
        <v>18</v>
      </c>
      <c r="I52" s="8" t="s">
        <v>126</v>
      </c>
      <c r="J52" s="8">
        <v>1.0</v>
      </c>
      <c r="K52" s="8">
        <v>1.0</v>
      </c>
      <c r="L52" s="8">
        <v>1.0</v>
      </c>
      <c r="M52" s="9" t="s">
        <v>62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124</v>
      </c>
      <c r="B53" s="11"/>
      <c r="C53" s="16"/>
      <c r="D53" s="5"/>
      <c r="E53" s="5" t="s">
        <v>67</v>
      </c>
      <c r="F53" s="5">
        <v>0.001</v>
      </c>
      <c r="G53" s="5" t="s">
        <v>23</v>
      </c>
      <c r="H53" s="5" t="s">
        <v>18</v>
      </c>
      <c r="I53" s="8" t="s">
        <v>127</v>
      </c>
      <c r="J53" s="8">
        <v>1.0</v>
      </c>
      <c r="K53" s="8">
        <v>1.0</v>
      </c>
      <c r="L53" s="8">
        <v>1.0</v>
      </c>
      <c r="M53" s="9" t="s">
        <v>62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124</v>
      </c>
      <c r="B54" s="11"/>
      <c r="C54" s="16"/>
      <c r="D54" s="5"/>
      <c r="E54" s="5" t="s">
        <v>70</v>
      </c>
      <c r="F54" s="5">
        <v>0.001</v>
      </c>
      <c r="G54" s="5" t="s">
        <v>23</v>
      </c>
      <c r="H54" s="5" t="s">
        <v>18</v>
      </c>
      <c r="I54" s="8" t="s">
        <v>128</v>
      </c>
      <c r="J54" s="8">
        <v>1.0</v>
      </c>
      <c r="K54" s="8">
        <v>1.0</v>
      </c>
      <c r="L54" s="8">
        <v>1.0</v>
      </c>
      <c r="M54" s="9" t="s">
        <v>62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 t="s">
        <v>129</v>
      </c>
      <c r="B55" s="11"/>
      <c r="C55" s="16"/>
      <c r="D55" s="5"/>
      <c r="E55" s="5" t="s">
        <v>118</v>
      </c>
      <c r="F55" s="5">
        <v>1.0</v>
      </c>
      <c r="G55" s="5" t="s">
        <v>17</v>
      </c>
      <c r="H55" s="5" t="s">
        <v>18</v>
      </c>
      <c r="I55" s="8" t="s">
        <v>130</v>
      </c>
      <c r="J55" s="8">
        <v>4.0</v>
      </c>
      <c r="K55" s="8">
        <v>1.0</v>
      </c>
      <c r="L55" s="8">
        <v>4.0</v>
      </c>
      <c r="M55" s="9" t="s">
        <v>62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 t="s">
        <v>131</v>
      </c>
      <c r="B56" s="11"/>
      <c r="C56" s="16"/>
      <c r="D56" s="5" t="s">
        <v>117</v>
      </c>
      <c r="E56" s="5" t="s">
        <v>94</v>
      </c>
      <c r="F56" s="5">
        <v>0.001</v>
      </c>
      <c r="G56" s="5" t="s">
        <v>23</v>
      </c>
      <c r="H56" s="5" t="s">
        <v>18</v>
      </c>
      <c r="I56" s="8" t="s">
        <v>132</v>
      </c>
      <c r="J56" s="8">
        <v>1.0</v>
      </c>
      <c r="K56" s="8">
        <v>1.0</v>
      </c>
      <c r="L56" s="8">
        <v>1.0</v>
      </c>
      <c r="M56" s="9" t="s">
        <v>62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131</v>
      </c>
      <c r="B57" s="11"/>
      <c r="C57" s="16"/>
      <c r="D57" s="5" t="s">
        <v>117</v>
      </c>
      <c r="E57" s="5" t="s">
        <v>64</v>
      </c>
      <c r="F57" s="5">
        <v>0.001</v>
      </c>
      <c r="G57" s="5" t="s">
        <v>23</v>
      </c>
      <c r="H57" s="5" t="s">
        <v>18</v>
      </c>
      <c r="I57" s="8" t="s">
        <v>133</v>
      </c>
      <c r="J57" s="8">
        <v>1.0</v>
      </c>
      <c r="K57" s="8">
        <v>1.0</v>
      </c>
      <c r="L57" s="8">
        <v>1.0</v>
      </c>
      <c r="M57" s="9" t="s">
        <v>62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131</v>
      </c>
      <c r="B58" s="11"/>
      <c r="C58" s="16"/>
      <c r="D58" s="5" t="s">
        <v>117</v>
      </c>
      <c r="E58" s="5" t="s">
        <v>67</v>
      </c>
      <c r="F58" s="5">
        <v>0.001</v>
      </c>
      <c r="G58" s="5" t="s">
        <v>23</v>
      </c>
      <c r="H58" s="5" t="s">
        <v>18</v>
      </c>
      <c r="I58" s="8" t="s">
        <v>134</v>
      </c>
      <c r="J58" s="8">
        <v>1.0</v>
      </c>
      <c r="K58" s="8">
        <v>1.0</v>
      </c>
      <c r="L58" s="8">
        <v>1.0</v>
      </c>
      <c r="M58" s="9" t="s">
        <v>62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 t="s">
        <v>131</v>
      </c>
      <c r="B59" s="4"/>
      <c r="C59" s="16"/>
      <c r="D59" s="5" t="s">
        <v>117</v>
      </c>
      <c r="E59" s="5" t="s">
        <v>70</v>
      </c>
      <c r="F59" s="5">
        <v>0.001</v>
      </c>
      <c r="G59" s="5" t="s">
        <v>23</v>
      </c>
      <c r="H59" s="5" t="s">
        <v>18</v>
      </c>
      <c r="I59" s="8" t="s">
        <v>135</v>
      </c>
      <c r="J59" s="8">
        <v>1.0</v>
      </c>
      <c r="K59" s="8">
        <v>1.0</v>
      </c>
      <c r="L59" s="8">
        <v>1.0</v>
      </c>
      <c r="M59" s="9" t="s">
        <v>62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9" t="s">
        <v>136</v>
      </c>
      <c r="B60" s="20" t="s">
        <v>137</v>
      </c>
      <c r="C60" s="21"/>
      <c r="D60" s="19" t="s">
        <v>83</v>
      </c>
      <c r="E60" s="19" t="s">
        <v>138</v>
      </c>
      <c r="F60" s="19">
        <v>0.01</v>
      </c>
      <c r="G60" s="19" t="s">
        <v>17</v>
      </c>
      <c r="H60" s="19" t="s">
        <v>18</v>
      </c>
      <c r="I60" s="22" t="s">
        <v>139</v>
      </c>
      <c r="J60" s="22">
        <v>1.0</v>
      </c>
      <c r="K60" s="22">
        <v>2.0</v>
      </c>
      <c r="L60" s="22">
        <v>2.0</v>
      </c>
      <c r="M60" s="23" t="s">
        <v>140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 t="s">
        <v>141</v>
      </c>
      <c r="B61" s="11"/>
      <c r="C61" s="21"/>
      <c r="D61" s="19" t="s">
        <v>83</v>
      </c>
      <c r="E61" s="19" t="s">
        <v>138</v>
      </c>
      <c r="F61" s="19">
        <v>0.01</v>
      </c>
      <c r="G61" s="19" t="s">
        <v>17</v>
      </c>
      <c r="H61" s="19" t="s">
        <v>18</v>
      </c>
      <c r="I61" s="22" t="s">
        <v>142</v>
      </c>
      <c r="J61" s="22">
        <v>1.0</v>
      </c>
      <c r="K61" s="22">
        <v>2.0</v>
      </c>
      <c r="L61" s="22">
        <v>2.0</v>
      </c>
      <c r="M61" s="23" t="s">
        <v>140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 t="s">
        <v>143</v>
      </c>
      <c r="B62" s="11"/>
      <c r="C62" s="21"/>
      <c r="D62" s="19" t="s">
        <v>83</v>
      </c>
      <c r="E62" s="19" t="s">
        <v>138</v>
      </c>
      <c r="F62" s="19">
        <v>0.01</v>
      </c>
      <c r="G62" s="19" t="s">
        <v>17</v>
      </c>
      <c r="H62" s="19" t="s">
        <v>18</v>
      </c>
      <c r="I62" s="22" t="s">
        <v>144</v>
      </c>
      <c r="J62" s="22">
        <v>1.0</v>
      </c>
      <c r="K62" s="22">
        <v>2.0</v>
      </c>
      <c r="L62" s="22">
        <v>2.0</v>
      </c>
      <c r="M62" s="23" t="s">
        <v>140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 t="s">
        <v>145</v>
      </c>
      <c r="B63" s="11"/>
      <c r="C63" s="21"/>
      <c r="D63" s="19" t="s">
        <v>83</v>
      </c>
      <c r="E63" s="19" t="s">
        <v>138</v>
      </c>
      <c r="F63" s="19">
        <v>0.01</v>
      </c>
      <c r="G63" s="19" t="s">
        <v>17</v>
      </c>
      <c r="H63" s="19" t="s">
        <v>18</v>
      </c>
      <c r="I63" s="22" t="s">
        <v>146</v>
      </c>
      <c r="J63" s="22">
        <v>1.0</v>
      </c>
      <c r="K63" s="22">
        <v>2.0</v>
      </c>
      <c r="L63" s="22">
        <v>2.0</v>
      </c>
      <c r="M63" s="23" t="s">
        <v>140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 t="s">
        <v>147</v>
      </c>
      <c r="B64" s="11"/>
      <c r="C64" s="21"/>
      <c r="D64" s="19" t="s">
        <v>60</v>
      </c>
      <c r="E64" s="19" t="s">
        <v>138</v>
      </c>
      <c r="F64" s="19">
        <v>0.1</v>
      </c>
      <c r="G64" s="19" t="s">
        <v>17</v>
      </c>
      <c r="H64" s="19" t="s">
        <v>18</v>
      </c>
      <c r="I64" s="22" t="s">
        <v>148</v>
      </c>
      <c r="J64" s="22">
        <v>1.0</v>
      </c>
      <c r="K64" s="22">
        <v>2.0</v>
      </c>
      <c r="L64" s="22">
        <v>2.0</v>
      </c>
      <c r="M64" s="23" t="s">
        <v>140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 t="s">
        <v>149</v>
      </c>
      <c r="B65" s="11"/>
      <c r="C65" s="21"/>
      <c r="D65" s="19" t="s">
        <v>60</v>
      </c>
      <c r="E65" s="19" t="s">
        <v>138</v>
      </c>
      <c r="F65" s="19">
        <v>0.1</v>
      </c>
      <c r="G65" s="19" t="s">
        <v>17</v>
      </c>
      <c r="H65" s="19" t="s">
        <v>18</v>
      </c>
      <c r="I65" s="22" t="s">
        <v>150</v>
      </c>
      <c r="J65" s="22">
        <v>1.0</v>
      </c>
      <c r="K65" s="22">
        <v>2.0</v>
      </c>
      <c r="L65" s="22">
        <v>2.0</v>
      </c>
      <c r="M65" s="23" t="s">
        <v>140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 t="s">
        <v>151</v>
      </c>
      <c r="B66" s="11"/>
      <c r="C66" s="21"/>
      <c r="D66" s="19" t="s">
        <v>60</v>
      </c>
      <c r="E66" s="19" t="s">
        <v>138</v>
      </c>
      <c r="F66" s="19">
        <v>0.1</v>
      </c>
      <c r="G66" s="19" t="s">
        <v>17</v>
      </c>
      <c r="H66" s="19" t="s">
        <v>18</v>
      </c>
      <c r="I66" s="22" t="s">
        <v>152</v>
      </c>
      <c r="J66" s="22">
        <v>1.0</v>
      </c>
      <c r="K66" s="22">
        <v>2.0</v>
      </c>
      <c r="L66" s="22">
        <v>2.0</v>
      </c>
      <c r="M66" s="23" t="s">
        <v>140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 t="s">
        <v>153</v>
      </c>
      <c r="B67" s="11"/>
      <c r="C67" s="21"/>
      <c r="D67" s="19" t="s">
        <v>60</v>
      </c>
      <c r="E67" s="19" t="s">
        <v>138</v>
      </c>
      <c r="F67" s="19">
        <v>0.1</v>
      </c>
      <c r="G67" s="19" t="s">
        <v>17</v>
      </c>
      <c r="H67" s="19" t="s">
        <v>18</v>
      </c>
      <c r="I67" s="22" t="s">
        <v>154</v>
      </c>
      <c r="J67" s="22">
        <v>1.0</v>
      </c>
      <c r="K67" s="22">
        <v>2.0</v>
      </c>
      <c r="L67" s="22">
        <v>2.0</v>
      </c>
      <c r="M67" s="23" t="s">
        <v>140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 t="s">
        <v>155</v>
      </c>
      <c r="B68" s="11"/>
      <c r="C68" s="21"/>
      <c r="D68" s="19" t="s">
        <v>60</v>
      </c>
      <c r="E68" s="19" t="s">
        <v>138</v>
      </c>
      <c r="F68" s="19">
        <v>0.1</v>
      </c>
      <c r="G68" s="19" t="s">
        <v>17</v>
      </c>
      <c r="H68" s="19" t="s">
        <v>18</v>
      </c>
      <c r="I68" s="22" t="s">
        <v>156</v>
      </c>
      <c r="J68" s="22">
        <v>1.0</v>
      </c>
      <c r="K68" s="22">
        <v>2.0</v>
      </c>
      <c r="L68" s="22">
        <v>2.0</v>
      </c>
      <c r="M68" s="23" t="s">
        <v>140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 t="s">
        <v>157</v>
      </c>
      <c r="B69" s="11"/>
      <c r="C69" s="21"/>
      <c r="D69" s="19" t="s">
        <v>60</v>
      </c>
      <c r="E69" s="19" t="s">
        <v>138</v>
      </c>
      <c r="F69" s="19">
        <v>0.1</v>
      </c>
      <c r="G69" s="19" t="s">
        <v>17</v>
      </c>
      <c r="H69" s="19" t="s">
        <v>18</v>
      </c>
      <c r="I69" s="22" t="s">
        <v>158</v>
      </c>
      <c r="J69" s="22">
        <v>1.0</v>
      </c>
      <c r="K69" s="22">
        <v>2.0</v>
      </c>
      <c r="L69" s="22">
        <v>2.0</v>
      </c>
      <c r="M69" s="23" t="s">
        <v>140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 t="s">
        <v>159</v>
      </c>
      <c r="B70" s="11"/>
      <c r="C70" s="21"/>
      <c r="D70" s="19" t="s">
        <v>93</v>
      </c>
      <c r="E70" s="19" t="s">
        <v>138</v>
      </c>
      <c r="F70" s="19">
        <v>0.01</v>
      </c>
      <c r="G70" s="19" t="s">
        <v>23</v>
      </c>
      <c r="H70" s="19" t="s">
        <v>18</v>
      </c>
      <c r="I70" s="22" t="s">
        <v>160</v>
      </c>
      <c r="J70" s="22">
        <v>1.0</v>
      </c>
      <c r="K70" s="22">
        <v>2.0</v>
      </c>
      <c r="L70" s="22">
        <v>2.0</v>
      </c>
      <c r="M70" s="23" t="s">
        <v>140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 t="s">
        <v>161</v>
      </c>
      <c r="B71" s="11"/>
      <c r="C71" s="21"/>
      <c r="D71" s="19" t="s">
        <v>93</v>
      </c>
      <c r="E71" s="19" t="s">
        <v>138</v>
      </c>
      <c r="F71" s="19">
        <v>0.01</v>
      </c>
      <c r="G71" s="19" t="s">
        <v>23</v>
      </c>
      <c r="H71" s="19" t="s">
        <v>18</v>
      </c>
      <c r="I71" s="22" t="s">
        <v>162</v>
      </c>
      <c r="J71" s="22">
        <v>1.0</v>
      </c>
      <c r="K71" s="22">
        <v>2.0</v>
      </c>
      <c r="L71" s="22">
        <v>2.0</v>
      </c>
      <c r="M71" s="23" t="s">
        <v>140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 t="s">
        <v>163</v>
      </c>
      <c r="B72" s="11"/>
      <c r="C72" s="21"/>
      <c r="D72" s="19" t="s">
        <v>93</v>
      </c>
      <c r="E72" s="19" t="s">
        <v>138</v>
      </c>
      <c r="F72" s="19">
        <v>0.01</v>
      </c>
      <c r="G72" s="19" t="s">
        <v>23</v>
      </c>
      <c r="H72" s="19" t="s">
        <v>18</v>
      </c>
      <c r="I72" s="22" t="s">
        <v>164</v>
      </c>
      <c r="J72" s="22">
        <v>1.0</v>
      </c>
      <c r="K72" s="22">
        <v>2.0</v>
      </c>
      <c r="L72" s="22">
        <v>2.0</v>
      </c>
      <c r="M72" s="23" t="s">
        <v>140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 t="s">
        <v>165</v>
      </c>
      <c r="B73" s="11"/>
      <c r="C73" s="21"/>
      <c r="D73" s="19" t="s">
        <v>93</v>
      </c>
      <c r="E73" s="19" t="s">
        <v>138</v>
      </c>
      <c r="F73" s="19">
        <v>0.01</v>
      </c>
      <c r="G73" s="19" t="s">
        <v>23</v>
      </c>
      <c r="H73" s="19" t="s">
        <v>18</v>
      </c>
      <c r="I73" s="22" t="s">
        <v>166</v>
      </c>
      <c r="J73" s="22">
        <v>1.0</v>
      </c>
      <c r="K73" s="22">
        <v>2.0</v>
      </c>
      <c r="L73" s="22">
        <v>2.0</v>
      </c>
      <c r="M73" s="23" t="s">
        <v>140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 t="s">
        <v>167</v>
      </c>
      <c r="B74" s="11"/>
      <c r="C74" s="21"/>
      <c r="D74" s="19" t="s">
        <v>100</v>
      </c>
      <c r="E74" s="19" t="s">
        <v>138</v>
      </c>
      <c r="F74" s="19">
        <v>0.01</v>
      </c>
      <c r="G74" s="19" t="s">
        <v>23</v>
      </c>
      <c r="H74" s="19" t="s">
        <v>18</v>
      </c>
      <c r="I74" s="22" t="s">
        <v>168</v>
      </c>
      <c r="J74" s="22">
        <v>1.0</v>
      </c>
      <c r="K74" s="22">
        <v>2.0</v>
      </c>
      <c r="L74" s="22">
        <v>2.0</v>
      </c>
      <c r="M74" s="23" t="s">
        <v>140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 t="s">
        <v>169</v>
      </c>
      <c r="B75" s="11"/>
      <c r="C75" s="21"/>
      <c r="D75" s="19" t="s">
        <v>100</v>
      </c>
      <c r="E75" s="19" t="s">
        <v>138</v>
      </c>
      <c r="F75" s="19">
        <v>0.01</v>
      </c>
      <c r="G75" s="19" t="s">
        <v>23</v>
      </c>
      <c r="H75" s="19" t="s">
        <v>18</v>
      </c>
      <c r="I75" s="22" t="s">
        <v>170</v>
      </c>
      <c r="J75" s="22">
        <v>1.0</v>
      </c>
      <c r="K75" s="22">
        <v>2.0</v>
      </c>
      <c r="L75" s="22">
        <v>2.0</v>
      </c>
      <c r="M75" s="23" t="s">
        <v>140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 t="s">
        <v>171</v>
      </c>
      <c r="B76" s="11"/>
      <c r="C76" s="21"/>
      <c r="D76" s="19" t="s">
        <v>100</v>
      </c>
      <c r="E76" s="19" t="s">
        <v>138</v>
      </c>
      <c r="F76" s="19">
        <v>0.01</v>
      </c>
      <c r="G76" s="19" t="s">
        <v>23</v>
      </c>
      <c r="H76" s="19" t="s">
        <v>18</v>
      </c>
      <c r="I76" s="22" t="s">
        <v>172</v>
      </c>
      <c r="J76" s="22">
        <v>1.0</v>
      </c>
      <c r="K76" s="22">
        <v>2.0</v>
      </c>
      <c r="L76" s="22">
        <v>2.0</v>
      </c>
      <c r="M76" s="23" t="s">
        <v>140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 t="s">
        <v>173</v>
      </c>
      <c r="B77" s="11"/>
      <c r="C77" s="21"/>
      <c r="D77" s="19" t="s">
        <v>100</v>
      </c>
      <c r="E77" s="19" t="s">
        <v>138</v>
      </c>
      <c r="F77" s="19">
        <v>0.01</v>
      </c>
      <c r="G77" s="19" t="s">
        <v>23</v>
      </c>
      <c r="H77" s="19" t="s">
        <v>18</v>
      </c>
      <c r="I77" s="22" t="s">
        <v>174</v>
      </c>
      <c r="J77" s="22">
        <v>1.0</v>
      </c>
      <c r="K77" s="22">
        <v>2.0</v>
      </c>
      <c r="L77" s="22">
        <v>2.0</v>
      </c>
      <c r="M77" s="23" t="s">
        <v>140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 t="s">
        <v>175</v>
      </c>
      <c r="B78" s="11"/>
      <c r="C78" s="21"/>
      <c r="D78" s="19" t="s">
        <v>106</v>
      </c>
      <c r="E78" s="19" t="s">
        <v>138</v>
      </c>
      <c r="F78" s="19">
        <v>0.01</v>
      </c>
      <c r="G78" s="19" t="s">
        <v>23</v>
      </c>
      <c r="H78" s="19" t="s">
        <v>18</v>
      </c>
      <c r="I78" s="22" t="s">
        <v>176</v>
      </c>
      <c r="J78" s="22">
        <v>1.0</v>
      </c>
      <c r="K78" s="22">
        <v>2.0</v>
      </c>
      <c r="L78" s="22">
        <v>2.0</v>
      </c>
      <c r="M78" s="23" t="s">
        <v>140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 t="s">
        <v>177</v>
      </c>
      <c r="B79" s="11"/>
      <c r="C79" s="21"/>
      <c r="D79" s="19" t="s">
        <v>106</v>
      </c>
      <c r="E79" s="19" t="s">
        <v>138</v>
      </c>
      <c r="F79" s="19">
        <v>0.01</v>
      </c>
      <c r="G79" s="19" t="s">
        <v>23</v>
      </c>
      <c r="H79" s="19" t="s">
        <v>18</v>
      </c>
      <c r="I79" s="22" t="s">
        <v>178</v>
      </c>
      <c r="J79" s="22">
        <v>1.0</v>
      </c>
      <c r="K79" s="22">
        <v>2.0</v>
      </c>
      <c r="L79" s="22">
        <v>2.0</v>
      </c>
      <c r="M79" s="23" t="s">
        <v>140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 t="s">
        <v>179</v>
      </c>
      <c r="B80" s="11"/>
      <c r="C80" s="21"/>
      <c r="D80" s="19" t="s">
        <v>106</v>
      </c>
      <c r="E80" s="19" t="s">
        <v>138</v>
      </c>
      <c r="F80" s="19">
        <v>0.01</v>
      </c>
      <c r="G80" s="19" t="s">
        <v>23</v>
      </c>
      <c r="H80" s="19" t="s">
        <v>18</v>
      </c>
      <c r="I80" s="22" t="s">
        <v>180</v>
      </c>
      <c r="J80" s="22">
        <v>1.0</v>
      </c>
      <c r="K80" s="22">
        <v>2.0</v>
      </c>
      <c r="L80" s="22">
        <v>2.0</v>
      </c>
      <c r="M80" s="23" t="s">
        <v>140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 t="s">
        <v>181</v>
      </c>
      <c r="B81" s="4"/>
      <c r="C81" s="21"/>
      <c r="D81" s="19" t="s">
        <v>106</v>
      </c>
      <c r="E81" s="19" t="s">
        <v>138</v>
      </c>
      <c r="F81" s="19">
        <v>0.01</v>
      </c>
      <c r="G81" s="19" t="s">
        <v>23</v>
      </c>
      <c r="H81" s="19" t="s">
        <v>18</v>
      </c>
      <c r="I81" s="22" t="s">
        <v>182</v>
      </c>
      <c r="J81" s="22">
        <v>1.0</v>
      </c>
      <c r="K81" s="22">
        <v>2.0</v>
      </c>
      <c r="L81" s="22">
        <v>2.0</v>
      </c>
      <c r="M81" s="23" t="s">
        <v>140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5" t="s">
        <v>183</v>
      </c>
      <c r="B82" s="24" t="s">
        <v>184</v>
      </c>
      <c r="C82" s="16"/>
      <c r="D82" s="5" t="s">
        <v>83</v>
      </c>
      <c r="E82" s="5" t="s">
        <v>138</v>
      </c>
      <c r="F82" s="5">
        <v>0.01</v>
      </c>
      <c r="G82" s="5" t="s">
        <v>17</v>
      </c>
      <c r="H82" s="5" t="s">
        <v>18</v>
      </c>
      <c r="I82" s="8" t="s">
        <v>185</v>
      </c>
      <c r="J82" s="8">
        <v>1.0</v>
      </c>
      <c r="K82" s="8">
        <v>2.0</v>
      </c>
      <c r="L82" s="8">
        <v>2.0</v>
      </c>
      <c r="M82" s="9" t="s">
        <v>140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 t="s">
        <v>186</v>
      </c>
      <c r="B83" s="11"/>
      <c r="C83" s="16"/>
      <c r="D83" s="5" t="s">
        <v>83</v>
      </c>
      <c r="E83" s="5" t="s">
        <v>138</v>
      </c>
      <c r="F83" s="5">
        <v>0.01</v>
      </c>
      <c r="G83" s="5" t="s">
        <v>17</v>
      </c>
      <c r="H83" s="5" t="s">
        <v>18</v>
      </c>
      <c r="I83" s="8" t="s">
        <v>187</v>
      </c>
      <c r="J83" s="8">
        <v>1.0</v>
      </c>
      <c r="K83" s="8">
        <v>2.0</v>
      </c>
      <c r="L83" s="8">
        <v>2.0</v>
      </c>
      <c r="M83" s="9" t="s">
        <v>140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 t="s">
        <v>188</v>
      </c>
      <c r="B84" s="11"/>
      <c r="C84" s="16"/>
      <c r="D84" s="5" t="s">
        <v>83</v>
      </c>
      <c r="E84" s="5" t="s">
        <v>138</v>
      </c>
      <c r="F84" s="5">
        <v>0.01</v>
      </c>
      <c r="G84" s="5" t="s">
        <v>17</v>
      </c>
      <c r="H84" s="5" t="s">
        <v>18</v>
      </c>
      <c r="I84" s="8" t="s">
        <v>189</v>
      </c>
      <c r="J84" s="8">
        <v>1.0</v>
      </c>
      <c r="K84" s="8">
        <v>2.0</v>
      </c>
      <c r="L84" s="8">
        <v>2.0</v>
      </c>
      <c r="M84" s="9" t="s">
        <v>140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 t="s">
        <v>190</v>
      </c>
      <c r="B85" s="11"/>
      <c r="C85" s="16"/>
      <c r="D85" s="5" t="s">
        <v>83</v>
      </c>
      <c r="E85" s="5" t="s">
        <v>138</v>
      </c>
      <c r="F85" s="5">
        <v>0.01</v>
      </c>
      <c r="G85" s="5" t="s">
        <v>17</v>
      </c>
      <c r="H85" s="5" t="s">
        <v>18</v>
      </c>
      <c r="I85" s="8" t="s">
        <v>191</v>
      </c>
      <c r="J85" s="8">
        <v>1.0</v>
      </c>
      <c r="K85" s="8">
        <v>2.0</v>
      </c>
      <c r="L85" s="8">
        <v>2.0</v>
      </c>
      <c r="M85" s="9" t="s">
        <v>140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 t="s">
        <v>192</v>
      </c>
      <c r="B86" s="11"/>
      <c r="C86" s="16"/>
      <c r="D86" s="5" t="s">
        <v>60</v>
      </c>
      <c r="E86" s="5" t="s">
        <v>138</v>
      </c>
      <c r="F86" s="5">
        <v>0.1</v>
      </c>
      <c r="G86" s="5" t="s">
        <v>17</v>
      </c>
      <c r="H86" s="5" t="s">
        <v>18</v>
      </c>
      <c r="I86" s="8" t="s">
        <v>193</v>
      </c>
      <c r="J86" s="8">
        <v>1.0</v>
      </c>
      <c r="K86" s="8">
        <v>2.0</v>
      </c>
      <c r="L86" s="8">
        <v>2.0</v>
      </c>
      <c r="M86" s="9" t="s">
        <v>140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 t="s">
        <v>194</v>
      </c>
      <c r="B87" s="11"/>
      <c r="C87" s="16"/>
      <c r="D87" s="5" t="s">
        <v>60</v>
      </c>
      <c r="E87" s="5" t="s">
        <v>138</v>
      </c>
      <c r="F87" s="5">
        <v>0.1</v>
      </c>
      <c r="G87" s="5" t="s">
        <v>17</v>
      </c>
      <c r="H87" s="5" t="s">
        <v>18</v>
      </c>
      <c r="I87" s="8" t="s">
        <v>195</v>
      </c>
      <c r="J87" s="8">
        <v>1.0</v>
      </c>
      <c r="K87" s="8">
        <v>2.0</v>
      </c>
      <c r="L87" s="8">
        <v>2.0</v>
      </c>
      <c r="M87" s="9" t="s">
        <v>140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 t="s">
        <v>196</v>
      </c>
      <c r="B88" s="11"/>
      <c r="C88" s="16"/>
      <c r="D88" s="5" t="s">
        <v>60</v>
      </c>
      <c r="E88" s="5" t="s">
        <v>138</v>
      </c>
      <c r="F88" s="5">
        <v>0.1</v>
      </c>
      <c r="G88" s="5" t="s">
        <v>17</v>
      </c>
      <c r="H88" s="5" t="s">
        <v>18</v>
      </c>
      <c r="I88" s="8" t="s">
        <v>197</v>
      </c>
      <c r="J88" s="8">
        <v>1.0</v>
      </c>
      <c r="K88" s="8">
        <v>2.0</v>
      </c>
      <c r="L88" s="8">
        <v>2.0</v>
      </c>
      <c r="M88" s="9" t="s">
        <v>140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 t="s">
        <v>198</v>
      </c>
      <c r="B89" s="11"/>
      <c r="C89" s="16"/>
      <c r="D89" s="5" t="s">
        <v>60</v>
      </c>
      <c r="E89" s="5" t="s">
        <v>138</v>
      </c>
      <c r="F89" s="5">
        <v>0.1</v>
      </c>
      <c r="G89" s="5" t="s">
        <v>17</v>
      </c>
      <c r="H89" s="5" t="s">
        <v>18</v>
      </c>
      <c r="I89" s="8" t="s">
        <v>199</v>
      </c>
      <c r="J89" s="8">
        <v>1.0</v>
      </c>
      <c r="K89" s="8">
        <v>2.0</v>
      </c>
      <c r="L89" s="8">
        <v>2.0</v>
      </c>
      <c r="M89" s="9" t="s">
        <v>140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 t="s">
        <v>200</v>
      </c>
      <c r="B90" s="11"/>
      <c r="C90" s="16"/>
      <c r="D90" s="5" t="s">
        <v>60</v>
      </c>
      <c r="E90" s="5" t="s">
        <v>138</v>
      </c>
      <c r="F90" s="5">
        <v>0.1</v>
      </c>
      <c r="G90" s="5" t="s">
        <v>17</v>
      </c>
      <c r="H90" s="5" t="s">
        <v>18</v>
      </c>
      <c r="I90" s="8" t="s">
        <v>201</v>
      </c>
      <c r="J90" s="8">
        <v>1.0</v>
      </c>
      <c r="K90" s="8">
        <v>2.0</v>
      </c>
      <c r="L90" s="8">
        <v>2.0</v>
      </c>
      <c r="M90" s="9" t="s">
        <v>140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 t="s">
        <v>202</v>
      </c>
      <c r="B91" s="11"/>
      <c r="C91" s="16"/>
      <c r="D91" s="5" t="s">
        <v>60</v>
      </c>
      <c r="E91" s="5" t="s">
        <v>138</v>
      </c>
      <c r="F91" s="5">
        <v>0.1</v>
      </c>
      <c r="G91" s="5" t="s">
        <v>17</v>
      </c>
      <c r="H91" s="5" t="s">
        <v>18</v>
      </c>
      <c r="I91" s="8" t="s">
        <v>203</v>
      </c>
      <c r="J91" s="8">
        <v>1.0</v>
      </c>
      <c r="K91" s="8">
        <v>2.0</v>
      </c>
      <c r="L91" s="8">
        <v>2.0</v>
      </c>
      <c r="M91" s="9" t="s">
        <v>140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 t="s">
        <v>204</v>
      </c>
      <c r="B92" s="11"/>
      <c r="C92" s="16"/>
      <c r="D92" s="5" t="s">
        <v>93</v>
      </c>
      <c r="E92" s="5" t="s">
        <v>138</v>
      </c>
      <c r="F92" s="5">
        <v>0.01</v>
      </c>
      <c r="G92" s="5" t="s">
        <v>23</v>
      </c>
      <c r="H92" s="5" t="s">
        <v>18</v>
      </c>
      <c r="I92" s="8" t="s">
        <v>205</v>
      </c>
      <c r="J92" s="8">
        <v>1.0</v>
      </c>
      <c r="K92" s="8">
        <v>2.0</v>
      </c>
      <c r="L92" s="8">
        <v>2.0</v>
      </c>
      <c r="M92" s="9" t="s">
        <v>140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 t="s">
        <v>206</v>
      </c>
      <c r="B93" s="11"/>
      <c r="C93" s="16"/>
      <c r="D93" s="5" t="s">
        <v>93</v>
      </c>
      <c r="E93" s="5" t="s">
        <v>138</v>
      </c>
      <c r="F93" s="5">
        <v>0.01</v>
      </c>
      <c r="G93" s="5" t="s">
        <v>23</v>
      </c>
      <c r="H93" s="5" t="s">
        <v>18</v>
      </c>
      <c r="I93" s="8" t="s">
        <v>207</v>
      </c>
      <c r="J93" s="8">
        <v>1.0</v>
      </c>
      <c r="K93" s="8">
        <v>2.0</v>
      </c>
      <c r="L93" s="8">
        <v>2.0</v>
      </c>
      <c r="M93" s="9" t="s">
        <v>140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 t="s">
        <v>208</v>
      </c>
      <c r="B94" s="11"/>
      <c r="C94" s="16"/>
      <c r="D94" s="5" t="s">
        <v>93</v>
      </c>
      <c r="E94" s="5" t="s">
        <v>138</v>
      </c>
      <c r="F94" s="5">
        <v>0.01</v>
      </c>
      <c r="G94" s="5" t="s">
        <v>23</v>
      </c>
      <c r="H94" s="5" t="s">
        <v>18</v>
      </c>
      <c r="I94" s="8" t="s">
        <v>209</v>
      </c>
      <c r="J94" s="8">
        <v>1.0</v>
      </c>
      <c r="K94" s="8">
        <v>2.0</v>
      </c>
      <c r="L94" s="8">
        <v>2.0</v>
      </c>
      <c r="M94" s="9" t="s">
        <v>140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 t="s">
        <v>210</v>
      </c>
      <c r="B95" s="11"/>
      <c r="C95" s="16"/>
      <c r="D95" s="5" t="s">
        <v>93</v>
      </c>
      <c r="E95" s="5" t="s">
        <v>138</v>
      </c>
      <c r="F95" s="5">
        <v>0.01</v>
      </c>
      <c r="G95" s="5" t="s">
        <v>23</v>
      </c>
      <c r="H95" s="5" t="s">
        <v>18</v>
      </c>
      <c r="I95" s="8" t="s">
        <v>211</v>
      </c>
      <c r="J95" s="8">
        <v>1.0</v>
      </c>
      <c r="K95" s="8">
        <v>2.0</v>
      </c>
      <c r="L95" s="8">
        <v>2.0</v>
      </c>
      <c r="M95" s="9" t="s">
        <v>140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 t="s">
        <v>212</v>
      </c>
      <c r="B96" s="11"/>
      <c r="C96" s="16"/>
      <c r="D96" s="5" t="s">
        <v>100</v>
      </c>
      <c r="E96" s="5" t="s">
        <v>138</v>
      </c>
      <c r="F96" s="5">
        <v>0.01</v>
      </c>
      <c r="G96" s="5" t="s">
        <v>23</v>
      </c>
      <c r="H96" s="5" t="s">
        <v>18</v>
      </c>
      <c r="I96" s="8" t="s">
        <v>213</v>
      </c>
      <c r="J96" s="8">
        <v>1.0</v>
      </c>
      <c r="K96" s="8">
        <v>2.0</v>
      </c>
      <c r="L96" s="8">
        <v>2.0</v>
      </c>
      <c r="M96" s="9" t="s">
        <v>140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 t="s">
        <v>214</v>
      </c>
      <c r="B97" s="11"/>
      <c r="C97" s="16"/>
      <c r="D97" s="5" t="s">
        <v>100</v>
      </c>
      <c r="E97" s="5" t="s">
        <v>138</v>
      </c>
      <c r="F97" s="5">
        <v>0.01</v>
      </c>
      <c r="G97" s="5" t="s">
        <v>23</v>
      </c>
      <c r="H97" s="5" t="s">
        <v>18</v>
      </c>
      <c r="I97" s="8" t="s">
        <v>215</v>
      </c>
      <c r="J97" s="8">
        <v>1.0</v>
      </c>
      <c r="K97" s="8">
        <v>2.0</v>
      </c>
      <c r="L97" s="8">
        <v>2.0</v>
      </c>
      <c r="M97" s="9" t="s">
        <v>140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 t="s">
        <v>216</v>
      </c>
      <c r="B98" s="11"/>
      <c r="C98" s="16"/>
      <c r="D98" s="5" t="s">
        <v>100</v>
      </c>
      <c r="E98" s="5" t="s">
        <v>138</v>
      </c>
      <c r="F98" s="5">
        <v>0.01</v>
      </c>
      <c r="G98" s="5" t="s">
        <v>23</v>
      </c>
      <c r="H98" s="5" t="s">
        <v>18</v>
      </c>
      <c r="I98" s="8" t="s">
        <v>217</v>
      </c>
      <c r="J98" s="8">
        <v>1.0</v>
      </c>
      <c r="K98" s="8">
        <v>2.0</v>
      </c>
      <c r="L98" s="8">
        <v>2.0</v>
      </c>
      <c r="M98" s="9" t="s">
        <v>140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 t="s">
        <v>218</v>
      </c>
      <c r="B99" s="11"/>
      <c r="C99" s="16"/>
      <c r="D99" s="5" t="s">
        <v>100</v>
      </c>
      <c r="E99" s="5" t="s">
        <v>138</v>
      </c>
      <c r="F99" s="5">
        <v>0.01</v>
      </c>
      <c r="G99" s="5" t="s">
        <v>23</v>
      </c>
      <c r="H99" s="5" t="s">
        <v>18</v>
      </c>
      <c r="I99" s="8" t="s">
        <v>219</v>
      </c>
      <c r="J99" s="8">
        <v>1.0</v>
      </c>
      <c r="K99" s="8">
        <v>2.0</v>
      </c>
      <c r="L99" s="8">
        <v>2.0</v>
      </c>
      <c r="M99" s="9" t="s">
        <v>140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 t="s">
        <v>220</v>
      </c>
      <c r="B100" s="11"/>
      <c r="C100" s="16"/>
      <c r="D100" s="5" t="s">
        <v>106</v>
      </c>
      <c r="E100" s="5" t="s">
        <v>138</v>
      </c>
      <c r="F100" s="5">
        <v>0.01</v>
      </c>
      <c r="G100" s="5" t="s">
        <v>23</v>
      </c>
      <c r="H100" s="5" t="s">
        <v>18</v>
      </c>
      <c r="I100" s="8" t="s">
        <v>221</v>
      </c>
      <c r="J100" s="8">
        <v>1.0</v>
      </c>
      <c r="K100" s="8">
        <v>2.0</v>
      </c>
      <c r="L100" s="8">
        <v>2.0</v>
      </c>
      <c r="M100" s="9" t="s">
        <v>140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 t="s">
        <v>222</v>
      </c>
      <c r="B101" s="11"/>
      <c r="C101" s="16"/>
      <c r="D101" s="5" t="s">
        <v>106</v>
      </c>
      <c r="E101" s="5" t="s">
        <v>138</v>
      </c>
      <c r="F101" s="5">
        <v>0.01</v>
      </c>
      <c r="G101" s="5" t="s">
        <v>23</v>
      </c>
      <c r="H101" s="5" t="s">
        <v>18</v>
      </c>
      <c r="I101" s="8" t="s">
        <v>223</v>
      </c>
      <c r="J101" s="8">
        <v>1.0</v>
      </c>
      <c r="K101" s="8">
        <v>2.0</v>
      </c>
      <c r="L101" s="8">
        <v>2.0</v>
      </c>
      <c r="M101" s="9" t="s">
        <v>140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 t="s">
        <v>224</v>
      </c>
      <c r="B102" s="11"/>
      <c r="C102" s="16"/>
      <c r="D102" s="5" t="s">
        <v>106</v>
      </c>
      <c r="E102" s="5" t="s">
        <v>138</v>
      </c>
      <c r="F102" s="5">
        <v>0.01</v>
      </c>
      <c r="G102" s="5" t="s">
        <v>23</v>
      </c>
      <c r="H102" s="5" t="s">
        <v>18</v>
      </c>
      <c r="I102" s="8" t="s">
        <v>225</v>
      </c>
      <c r="J102" s="8">
        <v>1.0</v>
      </c>
      <c r="K102" s="8">
        <v>2.0</v>
      </c>
      <c r="L102" s="8">
        <v>2.0</v>
      </c>
      <c r="M102" s="9" t="s">
        <v>140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 t="s">
        <v>226</v>
      </c>
      <c r="B103" s="4"/>
      <c r="C103" s="16"/>
      <c r="D103" s="5" t="s">
        <v>106</v>
      </c>
      <c r="E103" s="5" t="s">
        <v>138</v>
      </c>
      <c r="F103" s="5">
        <v>0.01</v>
      </c>
      <c r="G103" s="5" t="s">
        <v>23</v>
      </c>
      <c r="H103" s="5" t="s">
        <v>18</v>
      </c>
      <c r="I103" s="8" t="s">
        <v>227</v>
      </c>
      <c r="J103" s="8">
        <v>1.0</v>
      </c>
      <c r="K103" s="8">
        <v>2.0</v>
      </c>
      <c r="L103" s="8">
        <v>2.0</v>
      </c>
      <c r="M103" s="9" t="s">
        <v>140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9" t="s">
        <v>228</v>
      </c>
      <c r="B104" s="24" t="s">
        <v>229</v>
      </c>
      <c r="C104" s="21"/>
      <c r="D104" s="19"/>
      <c r="E104" s="19" t="s">
        <v>230</v>
      </c>
      <c r="F104" s="19"/>
      <c r="G104" s="19" t="s">
        <v>17</v>
      </c>
      <c r="H104" s="19" t="s">
        <v>18</v>
      </c>
      <c r="I104" s="22" t="s">
        <v>231</v>
      </c>
      <c r="J104" s="22">
        <v>1.0</v>
      </c>
      <c r="K104" s="22">
        <v>2.0</v>
      </c>
      <c r="L104" s="22">
        <v>2.0</v>
      </c>
      <c r="M104" s="23" t="s">
        <v>140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 t="s">
        <v>232</v>
      </c>
      <c r="B105" s="11"/>
      <c r="C105" s="21"/>
      <c r="D105" s="19"/>
      <c r="E105" s="19" t="s">
        <v>230</v>
      </c>
      <c r="F105" s="19"/>
      <c r="G105" s="19" t="s">
        <v>17</v>
      </c>
      <c r="H105" s="19" t="s">
        <v>18</v>
      </c>
      <c r="I105" s="22" t="s">
        <v>233</v>
      </c>
      <c r="J105" s="22">
        <v>1.0</v>
      </c>
      <c r="K105" s="22">
        <v>2.0</v>
      </c>
      <c r="L105" s="22">
        <v>2.0</v>
      </c>
      <c r="M105" s="23" t="s">
        <v>140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 t="s">
        <v>234</v>
      </c>
      <c r="B106" s="11"/>
      <c r="C106" s="21"/>
      <c r="D106" s="19"/>
      <c r="E106" s="19" t="s">
        <v>230</v>
      </c>
      <c r="F106" s="19"/>
      <c r="G106" s="19" t="s">
        <v>17</v>
      </c>
      <c r="H106" s="19" t="s">
        <v>18</v>
      </c>
      <c r="I106" s="22" t="s">
        <v>235</v>
      </c>
      <c r="J106" s="22">
        <v>1.0</v>
      </c>
      <c r="K106" s="22">
        <v>2.0</v>
      </c>
      <c r="L106" s="22">
        <v>2.0</v>
      </c>
      <c r="M106" s="23" t="s">
        <v>140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 t="s">
        <v>236</v>
      </c>
      <c r="B107" s="11"/>
      <c r="C107" s="21"/>
      <c r="D107" s="19"/>
      <c r="E107" s="19" t="s">
        <v>230</v>
      </c>
      <c r="F107" s="19"/>
      <c r="G107" s="19" t="s">
        <v>17</v>
      </c>
      <c r="H107" s="19" t="s">
        <v>18</v>
      </c>
      <c r="I107" s="22" t="s">
        <v>237</v>
      </c>
      <c r="J107" s="22">
        <v>1.0</v>
      </c>
      <c r="K107" s="22">
        <v>2.0</v>
      </c>
      <c r="L107" s="22">
        <v>2.0</v>
      </c>
      <c r="M107" s="23" t="s">
        <v>140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 t="s">
        <v>238</v>
      </c>
      <c r="B108" s="11"/>
      <c r="C108" s="21"/>
      <c r="D108" s="19"/>
      <c r="E108" s="19" t="s">
        <v>230</v>
      </c>
      <c r="F108" s="19"/>
      <c r="G108" s="19" t="s">
        <v>17</v>
      </c>
      <c r="H108" s="19" t="s">
        <v>18</v>
      </c>
      <c r="I108" s="22" t="s">
        <v>239</v>
      </c>
      <c r="J108" s="22">
        <v>1.0</v>
      </c>
      <c r="K108" s="22">
        <v>2.0</v>
      </c>
      <c r="L108" s="22">
        <v>2.0</v>
      </c>
      <c r="M108" s="23" t="s">
        <v>140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 t="s">
        <v>240</v>
      </c>
      <c r="B109" s="11"/>
      <c r="C109" s="21"/>
      <c r="D109" s="19"/>
      <c r="E109" s="19" t="s">
        <v>230</v>
      </c>
      <c r="F109" s="19"/>
      <c r="G109" s="19" t="s">
        <v>17</v>
      </c>
      <c r="H109" s="19" t="s">
        <v>18</v>
      </c>
      <c r="I109" s="22" t="s">
        <v>241</v>
      </c>
      <c r="J109" s="22">
        <v>1.0</v>
      </c>
      <c r="K109" s="22">
        <v>2.0</v>
      </c>
      <c r="L109" s="22">
        <v>2.0</v>
      </c>
      <c r="M109" s="23" t="s">
        <v>140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 t="s">
        <v>242</v>
      </c>
      <c r="B110" s="11"/>
      <c r="C110" s="21"/>
      <c r="D110" s="19"/>
      <c r="E110" s="19" t="s">
        <v>230</v>
      </c>
      <c r="F110" s="19"/>
      <c r="G110" s="19" t="s">
        <v>17</v>
      </c>
      <c r="H110" s="19" t="s">
        <v>18</v>
      </c>
      <c r="I110" s="22" t="s">
        <v>243</v>
      </c>
      <c r="J110" s="22">
        <v>1.0</v>
      </c>
      <c r="K110" s="22">
        <v>2.0</v>
      </c>
      <c r="L110" s="22">
        <v>2.0</v>
      </c>
      <c r="M110" s="23" t="s">
        <v>140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 t="s">
        <v>244</v>
      </c>
      <c r="B111" s="11"/>
      <c r="C111" s="21"/>
      <c r="D111" s="19"/>
      <c r="E111" s="19" t="s">
        <v>230</v>
      </c>
      <c r="F111" s="19"/>
      <c r="G111" s="19" t="s">
        <v>17</v>
      </c>
      <c r="H111" s="19" t="s">
        <v>18</v>
      </c>
      <c r="I111" s="22" t="s">
        <v>245</v>
      </c>
      <c r="J111" s="22">
        <v>1.0</v>
      </c>
      <c r="K111" s="22">
        <v>2.0</v>
      </c>
      <c r="L111" s="22">
        <v>2.0</v>
      </c>
      <c r="M111" s="23" t="s">
        <v>140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 t="s">
        <v>246</v>
      </c>
      <c r="B112" s="11"/>
      <c r="C112" s="21"/>
      <c r="D112" s="19"/>
      <c r="E112" s="19" t="s">
        <v>230</v>
      </c>
      <c r="F112" s="19"/>
      <c r="G112" s="19" t="s">
        <v>17</v>
      </c>
      <c r="H112" s="19" t="s">
        <v>18</v>
      </c>
      <c r="I112" s="22" t="s">
        <v>247</v>
      </c>
      <c r="J112" s="22">
        <v>1.0</v>
      </c>
      <c r="K112" s="22">
        <v>2.0</v>
      </c>
      <c r="L112" s="22">
        <v>2.0</v>
      </c>
      <c r="M112" s="23" t="s">
        <v>140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 t="s">
        <v>248</v>
      </c>
      <c r="B113" s="11"/>
      <c r="C113" s="21"/>
      <c r="D113" s="19"/>
      <c r="E113" s="19" t="s">
        <v>230</v>
      </c>
      <c r="F113" s="19"/>
      <c r="G113" s="19" t="s">
        <v>17</v>
      </c>
      <c r="H113" s="19" t="s">
        <v>18</v>
      </c>
      <c r="I113" s="22" t="s">
        <v>249</v>
      </c>
      <c r="J113" s="22">
        <v>1.0</v>
      </c>
      <c r="K113" s="22">
        <v>2.0</v>
      </c>
      <c r="L113" s="22">
        <v>2.0</v>
      </c>
      <c r="M113" s="23" t="s">
        <v>140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 t="s">
        <v>250</v>
      </c>
      <c r="B114" s="11"/>
      <c r="C114" s="21"/>
      <c r="D114" s="19"/>
      <c r="E114" s="19" t="s">
        <v>230</v>
      </c>
      <c r="F114" s="19"/>
      <c r="G114" s="19" t="s">
        <v>17</v>
      </c>
      <c r="H114" s="19" t="s">
        <v>18</v>
      </c>
      <c r="I114" s="22" t="s">
        <v>251</v>
      </c>
      <c r="J114" s="22">
        <v>1.0</v>
      </c>
      <c r="K114" s="22">
        <v>2.0</v>
      </c>
      <c r="L114" s="22">
        <v>2.0</v>
      </c>
      <c r="M114" s="23" t="s">
        <v>140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 t="s">
        <v>252</v>
      </c>
      <c r="B115" s="11"/>
      <c r="C115" s="21"/>
      <c r="D115" s="19"/>
      <c r="E115" s="19" t="s">
        <v>230</v>
      </c>
      <c r="F115" s="19"/>
      <c r="G115" s="19" t="s">
        <v>17</v>
      </c>
      <c r="H115" s="19" t="s">
        <v>18</v>
      </c>
      <c r="I115" s="22" t="s">
        <v>253</v>
      </c>
      <c r="J115" s="22">
        <v>1.0</v>
      </c>
      <c r="K115" s="22">
        <v>2.0</v>
      </c>
      <c r="L115" s="22">
        <v>2.0</v>
      </c>
      <c r="M115" s="23" t="s">
        <v>140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 t="s">
        <v>254</v>
      </c>
      <c r="B116" s="11"/>
      <c r="C116" s="21"/>
      <c r="D116" s="19"/>
      <c r="E116" s="19" t="s">
        <v>230</v>
      </c>
      <c r="F116" s="19"/>
      <c r="G116" s="19" t="s">
        <v>17</v>
      </c>
      <c r="H116" s="19" t="s">
        <v>18</v>
      </c>
      <c r="I116" s="22" t="s">
        <v>255</v>
      </c>
      <c r="J116" s="22">
        <v>1.0</v>
      </c>
      <c r="K116" s="22">
        <v>2.0</v>
      </c>
      <c r="L116" s="22">
        <v>2.0</v>
      </c>
      <c r="M116" s="23" t="s">
        <v>140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 t="s">
        <v>256</v>
      </c>
      <c r="B117" s="11"/>
      <c r="C117" s="21"/>
      <c r="D117" s="19"/>
      <c r="E117" s="19" t="s">
        <v>230</v>
      </c>
      <c r="F117" s="19"/>
      <c r="G117" s="19" t="s">
        <v>17</v>
      </c>
      <c r="H117" s="19" t="s">
        <v>18</v>
      </c>
      <c r="I117" s="22" t="s">
        <v>257</v>
      </c>
      <c r="J117" s="22">
        <v>1.0</v>
      </c>
      <c r="K117" s="22">
        <v>2.0</v>
      </c>
      <c r="L117" s="22">
        <v>2.0</v>
      </c>
      <c r="M117" s="23" t="s">
        <v>140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 t="s">
        <v>258</v>
      </c>
      <c r="B118" s="11"/>
      <c r="C118" s="21"/>
      <c r="D118" s="19"/>
      <c r="E118" s="19" t="s">
        <v>230</v>
      </c>
      <c r="F118" s="19"/>
      <c r="G118" s="19" t="s">
        <v>17</v>
      </c>
      <c r="H118" s="19" t="s">
        <v>18</v>
      </c>
      <c r="I118" s="22" t="s">
        <v>259</v>
      </c>
      <c r="J118" s="22">
        <v>1.0</v>
      </c>
      <c r="K118" s="22">
        <v>2.0</v>
      </c>
      <c r="L118" s="22">
        <v>2.0</v>
      </c>
      <c r="M118" s="23" t="s">
        <v>140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 t="s">
        <v>260</v>
      </c>
      <c r="B119" s="11"/>
      <c r="C119" s="21"/>
      <c r="D119" s="19"/>
      <c r="E119" s="19" t="s">
        <v>230</v>
      </c>
      <c r="F119" s="19"/>
      <c r="G119" s="19" t="s">
        <v>17</v>
      </c>
      <c r="H119" s="19" t="s">
        <v>18</v>
      </c>
      <c r="I119" s="22" t="s">
        <v>261</v>
      </c>
      <c r="J119" s="22">
        <v>1.0</v>
      </c>
      <c r="K119" s="22">
        <v>2.0</v>
      </c>
      <c r="L119" s="22">
        <v>2.0</v>
      </c>
      <c r="M119" s="23" t="s">
        <v>140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 t="s">
        <v>262</v>
      </c>
      <c r="B120" s="11"/>
      <c r="C120" s="21"/>
      <c r="D120" s="19"/>
      <c r="E120" s="19" t="s">
        <v>230</v>
      </c>
      <c r="F120" s="19"/>
      <c r="G120" s="19" t="s">
        <v>17</v>
      </c>
      <c r="H120" s="19" t="s">
        <v>18</v>
      </c>
      <c r="I120" s="22" t="s">
        <v>263</v>
      </c>
      <c r="J120" s="22">
        <v>1.0</v>
      </c>
      <c r="K120" s="22">
        <v>2.0</v>
      </c>
      <c r="L120" s="22">
        <v>2.0</v>
      </c>
      <c r="M120" s="23" t="s">
        <v>140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 t="s">
        <v>264</v>
      </c>
      <c r="B121" s="11"/>
      <c r="C121" s="21"/>
      <c r="D121" s="19"/>
      <c r="E121" s="19" t="s">
        <v>230</v>
      </c>
      <c r="F121" s="19"/>
      <c r="G121" s="19" t="s">
        <v>17</v>
      </c>
      <c r="H121" s="19" t="s">
        <v>18</v>
      </c>
      <c r="I121" s="22" t="s">
        <v>265</v>
      </c>
      <c r="J121" s="22">
        <v>1.0</v>
      </c>
      <c r="K121" s="22">
        <v>2.0</v>
      </c>
      <c r="L121" s="22">
        <v>2.0</v>
      </c>
      <c r="M121" s="23" t="s">
        <v>140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 t="s">
        <v>266</v>
      </c>
      <c r="B122" s="11"/>
      <c r="C122" s="21"/>
      <c r="D122" s="19"/>
      <c r="E122" s="19" t="s">
        <v>230</v>
      </c>
      <c r="F122" s="19"/>
      <c r="G122" s="19" t="s">
        <v>17</v>
      </c>
      <c r="H122" s="19" t="s">
        <v>18</v>
      </c>
      <c r="I122" s="22" t="s">
        <v>267</v>
      </c>
      <c r="J122" s="22">
        <v>1.0</v>
      </c>
      <c r="K122" s="22">
        <v>2.0</v>
      </c>
      <c r="L122" s="22">
        <v>2.0</v>
      </c>
      <c r="M122" s="23" t="s">
        <v>140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 t="s">
        <v>268</v>
      </c>
      <c r="B123" s="11"/>
      <c r="C123" s="21"/>
      <c r="D123" s="19"/>
      <c r="E123" s="19" t="s">
        <v>230</v>
      </c>
      <c r="F123" s="19"/>
      <c r="G123" s="19" t="s">
        <v>17</v>
      </c>
      <c r="H123" s="19" t="s">
        <v>18</v>
      </c>
      <c r="I123" s="22" t="s">
        <v>269</v>
      </c>
      <c r="J123" s="22">
        <v>1.0</v>
      </c>
      <c r="K123" s="22">
        <v>2.0</v>
      </c>
      <c r="L123" s="22">
        <v>2.0</v>
      </c>
      <c r="M123" s="23" t="s">
        <v>140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 t="s">
        <v>270</v>
      </c>
      <c r="B124" s="11"/>
      <c r="C124" s="21"/>
      <c r="D124" s="19"/>
      <c r="E124" s="19" t="s">
        <v>230</v>
      </c>
      <c r="F124" s="19"/>
      <c r="G124" s="19" t="s">
        <v>17</v>
      </c>
      <c r="H124" s="19" t="s">
        <v>18</v>
      </c>
      <c r="I124" s="22" t="s">
        <v>271</v>
      </c>
      <c r="J124" s="22">
        <v>1.0</v>
      </c>
      <c r="K124" s="22">
        <v>2.0</v>
      </c>
      <c r="L124" s="22">
        <v>2.0</v>
      </c>
      <c r="M124" s="23" t="s">
        <v>140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 t="s">
        <v>272</v>
      </c>
      <c r="B125" s="4"/>
      <c r="C125" s="21"/>
      <c r="D125" s="19"/>
      <c r="E125" s="19" t="s">
        <v>230</v>
      </c>
      <c r="F125" s="19"/>
      <c r="G125" s="19" t="s">
        <v>17</v>
      </c>
      <c r="H125" s="19" t="s">
        <v>18</v>
      </c>
      <c r="I125" s="22" t="s">
        <v>273</v>
      </c>
      <c r="J125" s="22">
        <v>1.0</v>
      </c>
      <c r="K125" s="22">
        <v>2.0</v>
      </c>
      <c r="L125" s="22">
        <v>2.0</v>
      </c>
      <c r="M125" s="23" t="s">
        <v>140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 t="s">
        <v>274</v>
      </c>
      <c r="B126" s="20" t="s">
        <v>275</v>
      </c>
      <c r="C126" s="21"/>
      <c r="D126" s="19" t="s">
        <v>83</v>
      </c>
      <c r="E126" s="19" t="s">
        <v>138</v>
      </c>
      <c r="F126" s="19">
        <v>0.01</v>
      </c>
      <c r="G126" s="19" t="s">
        <v>17</v>
      </c>
      <c r="H126" s="19" t="s">
        <v>18</v>
      </c>
      <c r="I126" s="22" t="s">
        <v>276</v>
      </c>
      <c r="J126" s="22">
        <v>1.0</v>
      </c>
      <c r="K126" s="22">
        <v>2.0</v>
      </c>
      <c r="L126" s="22">
        <v>2.0</v>
      </c>
      <c r="M126" s="23" t="s">
        <v>140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 t="s">
        <v>277</v>
      </c>
      <c r="B127" s="11"/>
      <c r="C127" s="21"/>
      <c r="D127" s="19" t="s">
        <v>83</v>
      </c>
      <c r="E127" s="19" t="s">
        <v>138</v>
      </c>
      <c r="F127" s="19">
        <v>0.01</v>
      </c>
      <c r="G127" s="19" t="s">
        <v>17</v>
      </c>
      <c r="H127" s="19" t="s">
        <v>18</v>
      </c>
      <c r="I127" s="22" t="s">
        <v>278</v>
      </c>
      <c r="J127" s="22">
        <v>1.0</v>
      </c>
      <c r="K127" s="22">
        <v>2.0</v>
      </c>
      <c r="L127" s="22">
        <v>2.0</v>
      </c>
      <c r="M127" s="23" t="s">
        <v>140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 t="s">
        <v>279</v>
      </c>
      <c r="B128" s="11"/>
      <c r="C128" s="21"/>
      <c r="D128" s="19" t="s">
        <v>83</v>
      </c>
      <c r="E128" s="19" t="s">
        <v>138</v>
      </c>
      <c r="F128" s="19">
        <v>0.01</v>
      </c>
      <c r="G128" s="19" t="s">
        <v>17</v>
      </c>
      <c r="H128" s="19" t="s">
        <v>18</v>
      </c>
      <c r="I128" s="22" t="s">
        <v>280</v>
      </c>
      <c r="J128" s="22">
        <v>1.0</v>
      </c>
      <c r="K128" s="22">
        <v>2.0</v>
      </c>
      <c r="L128" s="22">
        <v>2.0</v>
      </c>
      <c r="M128" s="23" t="s">
        <v>140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 t="s">
        <v>281</v>
      </c>
      <c r="B129" s="11"/>
      <c r="C129" s="21"/>
      <c r="D129" s="19" t="s">
        <v>83</v>
      </c>
      <c r="E129" s="19" t="s">
        <v>138</v>
      </c>
      <c r="F129" s="19">
        <v>0.01</v>
      </c>
      <c r="G129" s="19" t="s">
        <v>17</v>
      </c>
      <c r="H129" s="19" t="s">
        <v>18</v>
      </c>
      <c r="I129" s="22" t="s">
        <v>282</v>
      </c>
      <c r="J129" s="22">
        <v>1.0</v>
      </c>
      <c r="K129" s="22">
        <v>2.0</v>
      </c>
      <c r="L129" s="22">
        <v>2.0</v>
      </c>
      <c r="M129" s="23" t="s">
        <v>140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 t="s">
        <v>283</v>
      </c>
      <c r="B130" s="11"/>
      <c r="C130" s="21"/>
      <c r="D130" s="19" t="s">
        <v>60</v>
      </c>
      <c r="E130" s="19" t="s">
        <v>138</v>
      </c>
      <c r="F130" s="19">
        <v>0.1</v>
      </c>
      <c r="G130" s="19" t="s">
        <v>17</v>
      </c>
      <c r="H130" s="19" t="s">
        <v>18</v>
      </c>
      <c r="I130" s="22" t="s">
        <v>284</v>
      </c>
      <c r="J130" s="22">
        <v>1.0</v>
      </c>
      <c r="K130" s="22">
        <v>2.0</v>
      </c>
      <c r="L130" s="22">
        <v>2.0</v>
      </c>
      <c r="M130" s="23" t="s">
        <v>140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 t="s">
        <v>285</v>
      </c>
      <c r="B131" s="11"/>
      <c r="C131" s="21"/>
      <c r="D131" s="19" t="s">
        <v>60</v>
      </c>
      <c r="E131" s="19" t="s">
        <v>138</v>
      </c>
      <c r="F131" s="19">
        <v>0.1</v>
      </c>
      <c r="G131" s="19" t="s">
        <v>17</v>
      </c>
      <c r="H131" s="19" t="s">
        <v>18</v>
      </c>
      <c r="I131" s="22" t="s">
        <v>286</v>
      </c>
      <c r="J131" s="22">
        <v>1.0</v>
      </c>
      <c r="K131" s="22">
        <v>2.0</v>
      </c>
      <c r="L131" s="22">
        <v>2.0</v>
      </c>
      <c r="M131" s="23" t="s">
        <v>140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 t="s">
        <v>287</v>
      </c>
      <c r="B132" s="11"/>
      <c r="C132" s="21"/>
      <c r="D132" s="19" t="s">
        <v>60</v>
      </c>
      <c r="E132" s="19" t="s">
        <v>138</v>
      </c>
      <c r="F132" s="19">
        <v>0.1</v>
      </c>
      <c r="G132" s="19" t="s">
        <v>17</v>
      </c>
      <c r="H132" s="19" t="s">
        <v>18</v>
      </c>
      <c r="I132" s="22" t="s">
        <v>288</v>
      </c>
      <c r="J132" s="22">
        <v>1.0</v>
      </c>
      <c r="K132" s="22">
        <v>2.0</v>
      </c>
      <c r="L132" s="22">
        <v>2.0</v>
      </c>
      <c r="M132" s="23" t="s">
        <v>140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 t="s">
        <v>289</v>
      </c>
      <c r="B133" s="11"/>
      <c r="C133" s="21"/>
      <c r="D133" s="19" t="s">
        <v>60</v>
      </c>
      <c r="E133" s="19" t="s">
        <v>138</v>
      </c>
      <c r="F133" s="19">
        <v>0.1</v>
      </c>
      <c r="G133" s="19" t="s">
        <v>17</v>
      </c>
      <c r="H133" s="19" t="s">
        <v>18</v>
      </c>
      <c r="I133" s="22" t="s">
        <v>290</v>
      </c>
      <c r="J133" s="22">
        <v>1.0</v>
      </c>
      <c r="K133" s="22">
        <v>2.0</v>
      </c>
      <c r="L133" s="22">
        <v>2.0</v>
      </c>
      <c r="M133" s="23" t="s">
        <v>140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 t="s">
        <v>291</v>
      </c>
      <c r="B134" s="11"/>
      <c r="C134" s="21"/>
      <c r="D134" s="19" t="s">
        <v>60</v>
      </c>
      <c r="E134" s="19" t="s">
        <v>138</v>
      </c>
      <c r="F134" s="19">
        <v>0.1</v>
      </c>
      <c r="G134" s="19" t="s">
        <v>17</v>
      </c>
      <c r="H134" s="19" t="s">
        <v>18</v>
      </c>
      <c r="I134" s="22" t="s">
        <v>292</v>
      </c>
      <c r="J134" s="22">
        <v>1.0</v>
      </c>
      <c r="K134" s="22">
        <v>2.0</v>
      </c>
      <c r="L134" s="22">
        <v>2.0</v>
      </c>
      <c r="M134" s="23" t="s">
        <v>140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 t="s">
        <v>293</v>
      </c>
      <c r="B135" s="11"/>
      <c r="C135" s="21"/>
      <c r="D135" s="19" t="s">
        <v>60</v>
      </c>
      <c r="E135" s="19" t="s">
        <v>138</v>
      </c>
      <c r="F135" s="19">
        <v>0.1</v>
      </c>
      <c r="G135" s="19" t="s">
        <v>17</v>
      </c>
      <c r="H135" s="19" t="s">
        <v>18</v>
      </c>
      <c r="I135" s="22" t="s">
        <v>294</v>
      </c>
      <c r="J135" s="22">
        <v>1.0</v>
      </c>
      <c r="K135" s="22">
        <v>2.0</v>
      </c>
      <c r="L135" s="22">
        <v>2.0</v>
      </c>
      <c r="M135" s="23" t="s">
        <v>140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 t="s">
        <v>295</v>
      </c>
      <c r="B136" s="11"/>
      <c r="C136" s="21"/>
      <c r="D136" s="19" t="s">
        <v>93</v>
      </c>
      <c r="E136" s="19" t="s">
        <v>138</v>
      </c>
      <c r="F136" s="19">
        <v>0.01</v>
      </c>
      <c r="G136" s="19" t="s">
        <v>23</v>
      </c>
      <c r="H136" s="19" t="s">
        <v>18</v>
      </c>
      <c r="I136" s="22" t="s">
        <v>296</v>
      </c>
      <c r="J136" s="22">
        <v>1.0</v>
      </c>
      <c r="K136" s="22">
        <v>2.0</v>
      </c>
      <c r="L136" s="22">
        <v>2.0</v>
      </c>
      <c r="M136" s="23" t="s">
        <v>140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 t="s">
        <v>297</v>
      </c>
      <c r="B137" s="11"/>
      <c r="C137" s="21"/>
      <c r="D137" s="19" t="s">
        <v>93</v>
      </c>
      <c r="E137" s="19" t="s">
        <v>138</v>
      </c>
      <c r="F137" s="19">
        <v>0.01</v>
      </c>
      <c r="G137" s="19" t="s">
        <v>23</v>
      </c>
      <c r="H137" s="19" t="s">
        <v>18</v>
      </c>
      <c r="I137" s="22" t="s">
        <v>298</v>
      </c>
      <c r="J137" s="22">
        <v>1.0</v>
      </c>
      <c r="K137" s="22">
        <v>2.0</v>
      </c>
      <c r="L137" s="22">
        <v>2.0</v>
      </c>
      <c r="M137" s="23" t="s">
        <v>140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 t="s">
        <v>299</v>
      </c>
      <c r="B138" s="11"/>
      <c r="C138" s="21"/>
      <c r="D138" s="19" t="s">
        <v>93</v>
      </c>
      <c r="E138" s="19" t="s">
        <v>138</v>
      </c>
      <c r="F138" s="19">
        <v>0.01</v>
      </c>
      <c r="G138" s="19" t="s">
        <v>23</v>
      </c>
      <c r="H138" s="19" t="s">
        <v>18</v>
      </c>
      <c r="I138" s="22" t="s">
        <v>300</v>
      </c>
      <c r="J138" s="22">
        <v>1.0</v>
      </c>
      <c r="K138" s="22">
        <v>2.0</v>
      </c>
      <c r="L138" s="22">
        <v>2.0</v>
      </c>
      <c r="M138" s="23" t="s">
        <v>140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 t="s">
        <v>301</v>
      </c>
      <c r="B139" s="11"/>
      <c r="C139" s="21"/>
      <c r="D139" s="19" t="s">
        <v>93</v>
      </c>
      <c r="E139" s="19" t="s">
        <v>138</v>
      </c>
      <c r="F139" s="19">
        <v>0.01</v>
      </c>
      <c r="G139" s="19" t="s">
        <v>23</v>
      </c>
      <c r="H139" s="19" t="s">
        <v>18</v>
      </c>
      <c r="I139" s="22" t="s">
        <v>302</v>
      </c>
      <c r="J139" s="22">
        <v>1.0</v>
      </c>
      <c r="K139" s="22">
        <v>2.0</v>
      </c>
      <c r="L139" s="22">
        <v>2.0</v>
      </c>
      <c r="M139" s="23" t="s">
        <v>140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 t="s">
        <v>303</v>
      </c>
      <c r="B140" s="11"/>
      <c r="C140" s="21"/>
      <c r="D140" s="19" t="s">
        <v>100</v>
      </c>
      <c r="E140" s="19" t="s">
        <v>138</v>
      </c>
      <c r="F140" s="19">
        <v>0.01</v>
      </c>
      <c r="G140" s="19" t="s">
        <v>23</v>
      </c>
      <c r="H140" s="19" t="s">
        <v>18</v>
      </c>
      <c r="I140" s="22" t="s">
        <v>304</v>
      </c>
      <c r="J140" s="22">
        <v>1.0</v>
      </c>
      <c r="K140" s="22">
        <v>2.0</v>
      </c>
      <c r="L140" s="22">
        <v>2.0</v>
      </c>
      <c r="M140" s="23" t="s">
        <v>140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 t="s">
        <v>305</v>
      </c>
      <c r="B141" s="11"/>
      <c r="C141" s="21"/>
      <c r="D141" s="19" t="s">
        <v>100</v>
      </c>
      <c r="E141" s="19" t="s">
        <v>138</v>
      </c>
      <c r="F141" s="19">
        <v>0.01</v>
      </c>
      <c r="G141" s="19" t="s">
        <v>23</v>
      </c>
      <c r="H141" s="19" t="s">
        <v>18</v>
      </c>
      <c r="I141" s="22" t="s">
        <v>306</v>
      </c>
      <c r="J141" s="22">
        <v>1.0</v>
      </c>
      <c r="K141" s="22">
        <v>2.0</v>
      </c>
      <c r="L141" s="22">
        <v>2.0</v>
      </c>
      <c r="M141" s="23" t="s">
        <v>140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 t="s">
        <v>307</v>
      </c>
      <c r="B142" s="11"/>
      <c r="C142" s="21"/>
      <c r="D142" s="19" t="s">
        <v>100</v>
      </c>
      <c r="E142" s="19" t="s">
        <v>138</v>
      </c>
      <c r="F142" s="19">
        <v>0.01</v>
      </c>
      <c r="G142" s="19" t="s">
        <v>23</v>
      </c>
      <c r="H142" s="19" t="s">
        <v>18</v>
      </c>
      <c r="I142" s="22" t="s">
        <v>308</v>
      </c>
      <c r="J142" s="22">
        <v>1.0</v>
      </c>
      <c r="K142" s="22">
        <v>2.0</v>
      </c>
      <c r="L142" s="22">
        <v>2.0</v>
      </c>
      <c r="M142" s="23" t="s">
        <v>140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 t="s">
        <v>309</v>
      </c>
      <c r="B143" s="11"/>
      <c r="C143" s="21"/>
      <c r="D143" s="19" t="s">
        <v>100</v>
      </c>
      <c r="E143" s="19" t="s">
        <v>138</v>
      </c>
      <c r="F143" s="19">
        <v>0.01</v>
      </c>
      <c r="G143" s="19" t="s">
        <v>23</v>
      </c>
      <c r="H143" s="19" t="s">
        <v>18</v>
      </c>
      <c r="I143" s="22" t="s">
        <v>310</v>
      </c>
      <c r="J143" s="22">
        <v>1.0</v>
      </c>
      <c r="K143" s="22">
        <v>2.0</v>
      </c>
      <c r="L143" s="22">
        <v>2.0</v>
      </c>
      <c r="M143" s="23" t="s">
        <v>140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 t="s">
        <v>311</v>
      </c>
      <c r="B144" s="11"/>
      <c r="C144" s="21"/>
      <c r="D144" s="19" t="s">
        <v>106</v>
      </c>
      <c r="E144" s="19" t="s">
        <v>138</v>
      </c>
      <c r="F144" s="19">
        <v>0.01</v>
      </c>
      <c r="G144" s="19" t="s">
        <v>23</v>
      </c>
      <c r="H144" s="19" t="s">
        <v>18</v>
      </c>
      <c r="I144" s="22" t="s">
        <v>312</v>
      </c>
      <c r="J144" s="22">
        <v>1.0</v>
      </c>
      <c r="K144" s="22">
        <v>2.0</v>
      </c>
      <c r="L144" s="22">
        <v>2.0</v>
      </c>
      <c r="M144" s="23" t="s">
        <v>140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 t="s">
        <v>313</v>
      </c>
      <c r="B145" s="11"/>
      <c r="C145" s="21"/>
      <c r="D145" s="19" t="s">
        <v>106</v>
      </c>
      <c r="E145" s="19" t="s">
        <v>138</v>
      </c>
      <c r="F145" s="19">
        <v>0.01</v>
      </c>
      <c r="G145" s="19" t="s">
        <v>23</v>
      </c>
      <c r="H145" s="19" t="s">
        <v>18</v>
      </c>
      <c r="I145" s="22" t="s">
        <v>314</v>
      </c>
      <c r="J145" s="22">
        <v>1.0</v>
      </c>
      <c r="K145" s="22">
        <v>2.0</v>
      </c>
      <c r="L145" s="22">
        <v>2.0</v>
      </c>
      <c r="M145" s="23" t="s">
        <v>140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 t="s">
        <v>315</v>
      </c>
      <c r="B146" s="11"/>
      <c r="C146" s="21"/>
      <c r="D146" s="19" t="s">
        <v>106</v>
      </c>
      <c r="E146" s="19" t="s">
        <v>138</v>
      </c>
      <c r="F146" s="19">
        <v>0.01</v>
      </c>
      <c r="G146" s="19" t="s">
        <v>23</v>
      </c>
      <c r="H146" s="19" t="s">
        <v>18</v>
      </c>
      <c r="I146" s="22" t="s">
        <v>316</v>
      </c>
      <c r="J146" s="22">
        <v>1.0</v>
      </c>
      <c r="K146" s="22">
        <v>2.0</v>
      </c>
      <c r="L146" s="22">
        <v>2.0</v>
      </c>
      <c r="M146" s="23" t="s">
        <v>140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 t="s">
        <v>317</v>
      </c>
      <c r="B147" s="4"/>
      <c r="C147" s="21"/>
      <c r="D147" s="19" t="s">
        <v>106</v>
      </c>
      <c r="E147" s="19" t="s">
        <v>138</v>
      </c>
      <c r="F147" s="19">
        <v>0.01</v>
      </c>
      <c r="G147" s="19" t="s">
        <v>23</v>
      </c>
      <c r="H147" s="19" t="s">
        <v>18</v>
      </c>
      <c r="I147" s="22" t="s">
        <v>318</v>
      </c>
      <c r="J147" s="22">
        <v>1.0</v>
      </c>
      <c r="K147" s="22">
        <v>2.0</v>
      </c>
      <c r="L147" s="22">
        <v>2.0</v>
      </c>
      <c r="M147" s="23" t="s">
        <v>140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 t="s">
        <v>319</v>
      </c>
      <c r="B148" s="20" t="s">
        <v>320</v>
      </c>
      <c r="C148" s="21"/>
      <c r="D148" s="19"/>
      <c r="E148" s="19" t="s">
        <v>230</v>
      </c>
      <c r="F148" s="19"/>
      <c r="G148" s="19" t="s">
        <v>17</v>
      </c>
      <c r="H148" s="19" t="s">
        <v>18</v>
      </c>
      <c r="I148" s="22" t="s">
        <v>321</v>
      </c>
      <c r="J148" s="22">
        <v>1.0</v>
      </c>
      <c r="K148" s="22">
        <v>2.0</v>
      </c>
      <c r="L148" s="22">
        <v>2.0</v>
      </c>
      <c r="M148" s="23" t="s">
        <v>140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 t="s">
        <v>322</v>
      </c>
      <c r="B149" s="11"/>
      <c r="C149" s="21"/>
      <c r="D149" s="19"/>
      <c r="E149" s="19" t="s">
        <v>230</v>
      </c>
      <c r="F149" s="19"/>
      <c r="G149" s="19" t="s">
        <v>17</v>
      </c>
      <c r="H149" s="19" t="s">
        <v>18</v>
      </c>
      <c r="I149" s="22" t="s">
        <v>323</v>
      </c>
      <c r="J149" s="22">
        <v>1.0</v>
      </c>
      <c r="K149" s="22">
        <v>2.0</v>
      </c>
      <c r="L149" s="22">
        <v>2.0</v>
      </c>
      <c r="M149" s="23" t="s">
        <v>140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 t="s">
        <v>324</v>
      </c>
      <c r="B150" s="11"/>
      <c r="C150" s="21"/>
      <c r="D150" s="19"/>
      <c r="E150" s="19" t="s">
        <v>230</v>
      </c>
      <c r="F150" s="19"/>
      <c r="G150" s="19" t="s">
        <v>17</v>
      </c>
      <c r="H150" s="19" t="s">
        <v>18</v>
      </c>
      <c r="I150" s="22" t="s">
        <v>325</v>
      </c>
      <c r="J150" s="22">
        <v>1.0</v>
      </c>
      <c r="K150" s="22">
        <v>2.0</v>
      </c>
      <c r="L150" s="22">
        <v>2.0</v>
      </c>
      <c r="M150" s="23" t="s">
        <v>140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 t="s">
        <v>326</v>
      </c>
      <c r="B151" s="11"/>
      <c r="C151" s="21"/>
      <c r="D151" s="19"/>
      <c r="E151" s="19" t="s">
        <v>230</v>
      </c>
      <c r="F151" s="19"/>
      <c r="G151" s="19" t="s">
        <v>17</v>
      </c>
      <c r="H151" s="19" t="s">
        <v>18</v>
      </c>
      <c r="I151" s="22" t="s">
        <v>327</v>
      </c>
      <c r="J151" s="22">
        <v>1.0</v>
      </c>
      <c r="K151" s="22">
        <v>2.0</v>
      </c>
      <c r="L151" s="22">
        <v>2.0</v>
      </c>
      <c r="M151" s="23" t="s">
        <v>140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 t="s">
        <v>328</v>
      </c>
      <c r="B152" s="11"/>
      <c r="C152" s="21"/>
      <c r="D152" s="19"/>
      <c r="E152" s="19" t="s">
        <v>230</v>
      </c>
      <c r="F152" s="19"/>
      <c r="G152" s="19" t="s">
        <v>17</v>
      </c>
      <c r="H152" s="19" t="s">
        <v>18</v>
      </c>
      <c r="I152" s="22" t="s">
        <v>329</v>
      </c>
      <c r="J152" s="22">
        <v>1.0</v>
      </c>
      <c r="K152" s="22">
        <v>2.0</v>
      </c>
      <c r="L152" s="22">
        <v>2.0</v>
      </c>
      <c r="M152" s="23" t="s">
        <v>140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 t="s">
        <v>330</v>
      </c>
      <c r="B153" s="11"/>
      <c r="C153" s="21"/>
      <c r="D153" s="19"/>
      <c r="E153" s="19" t="s">
        <v>230</v>
      </c>
      <c r="F153" s="19"/>
      <c r="G153" s="19" t="s">
        <v>17</v>
      </c>
      <c r="H153" s="19" t="s">
        <v>18</v>
      </c>
      <c r="I153" s="22" t="s">
        <v>331</v>
      </c>
      <c r="J153" s="22">
        <v>1.0</v>
      </c>
      <c r="K153" s="22">
        <v>2.0</v>
      </c>
      <c r="L153" s="22">
        <v>2.0</v>
      </c>
      <c r="M153" s="23" t="s">
        <v>140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 t="s">
        <v>332</v>
      </c>
      <c r="B154" s="11"/>
      <c r="C154" s="21"/>
      <c r="D154" s="19"/>
      <c r="E154" s="19" t="s">
        <v>230</v>
      </c>
      <c r="F154" s="19"/>
      <c r="G154" s="19" t="s">
        <v>17</v>
      </c>
      <c r="H154" s="19" t="s">
        <v>18</v>
      </c>
      <c r="I154" s="22" t="s">
        <v>333</v>
      </c>
      <c r="J154" s="22">
        <v>1.0</v>
      </c>
      <c r="K154" s="22">
        <v>2.0</v>
      </c>
      <c r="L154" s="22">
        <v>2.0</v>
      </c>
      <c r="M154" s="23" t="s">
        <v>140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 t="s">
        <v>334</v>
      </c>
      <c r="B155" s="11"/>
      <c r="C155" s="21"/>
      <c r="D155" s="19"/>
      <c r="E155" s="19" t="s">
        <v>230</v>
      </c>
      <c r="F155" s="19"/>
      <c r="G155" s="19" t="s">
        <v>17</v>
      </c>
      <c r="H155" s="19" t="s">
        <v>18</v>
      </c>
      <c r="I155" s="22" t="s">
        <v>335</v>
      </c>
      <c r="J155" s="22">
        <v>1.0</v>
      </c>
      <c r="K155" s="22">
        <v>2.0</v>
      </c>
      <c r="L155" s="22">
        <v>2.0</v>
      </c>
      <c r="M155" s="23" t="s">
        <v>140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 t="s">
        <v>336</v>
      </c>
      <c r="B156" s="11"/>
      <c r="C156" s="21"/>
      <c r="D156" s="19"/>
      <c r="E156" s="19" t="s">
        <v>230</v>
      </c>
      <c r="F156" s="19"/>
      <c r="G156" s="19" t="s">
        <v>17</v>
      </c>
      <c r="H156" s="19" t="s">
        <v>18</v>
      </c>
      <c r="I156" s="22" t="s">
        <v>337</v>
      </c>
      <c r="J156" s="22">
        <v>1.0</v>
      </c>
      <c r="K156" s="22">
        <v>2.0</v>
      </c>
      <c r="L156" s="22">
        <v>2.0</v>
      </c>
      <c r="M156" s="23" t="s">
        <v>140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 t="s">
        <v>338</v>
      </c>
      <c r="B157" s="11"/>
      <c r="C157" s="21"/>
      <c r="D157" s="19"/>
      <c r="E157" s="19" t="s">
        <v>230</v>
      </c>
      <c r="F157" s="19"/>
      <c r="G157" s="19" t="s">
        <v>17</v>
      </c>
      <c r="H157" s="19" t="s">
        <v>18</v>
      </c>
      <c r="I157" s="22" t="s">
        <v>339</v>
      </c>
      <c r="J157" s="22">
        <v>1.0</v>
      </c>
      <c r="K157" s="22">
        <v>2.0</v>
      </c>
      <c r="L157" s="22">
        <v>2.0</v>
      </c>
      <c r="M157" s="23" t="s">
        <v>140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 t="s">
        <v>340</v>
      </c>
      <c r="B158" s="11"/>
      <c r="C158" s="21"/>
      <c r="D158" s="19"/>
      <c r="E158" s="19" t="s">
        <v>230</v>
      </c>
      <c r="F158" s="19"/>
      <c r="G158" s="19" t="s">
        <v>17</v>
      </c>
      <c r="H158" s="19" t="s">
        <v>18</v>
      </c>
      <c r="I158" s="22" t="s">
        <v>341</v>
      </c>
      <c r="J158" s="22">
        <v>1.0</v>
      </c>
      <c r="K158" s="22">
        <v>2.0</v>
      </c>
      <c r="L158" s="22">
        <v>2.0</v>
      </c>
      <c r="M158" s="23" t="s">
        <v>140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 t="s">
        <v>342</v>
      </c>
      <c r="B159" s="11"/>
      <c r="C159" s="21"/>
      <c r="D159" s="19"/>
      <c r="E159" s="19" t="s">
        <v>230</v>
      </c>
      <c r="F159" s="19"/>
      <c r="G159" s="19" t="s">
        <v>17</v>
      </c>
      <c r="H159" s="19" t="s">
        <v>18</v>
      </c>
      <c r="I159" s="22" t="s">
        <v>343</v>
      </c>
      <c r="J159" s="22">
        <v>1.0</v>
      </c>
      <c r="K159" s="22">
        <v>2.0</v>
      </c>
      <c r="L159" s="22">
        <v>2.0</v>
      </c>
      <c r="M159" s="23" t="s">
        <v>140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 t="s">
        <v>344</v>
      </c>
      <c r="B160" s="11"/>
      <c r="C160" s="21"/>
      <c r="D160" s="19"/>
      <c r="E160" s="19" t="s">
        <v>230</v>
      </c>
      <c r="F160" s="19"/>
      <c r="G160" s="19" t="s">
        <v>17</v>
      </c>
      <c r="H160" s="19" t="s">
        <v>18</v>
      </c>
      <c r="I160" s="22" t="s">
        <v>345</v>
      </c>
      <c r="J160" s="22">
        <v>1.0</v>
      </c>
      <c r="K160" s="22">
        <v>2.0</v>
      </c>
      <c r="L160" s="22">
        <v>2.0</v>
      </c>
      <c r="M160" s="23" t="s">
        <v>140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 t="s">
        <v>346</v>
      </c>
      <c r="B161" s="11"/>
      <c r="C161" s="21"/>
      <c r="D161" s="19"/>
      <c r="E161" s="19" t="s">
        <v>230</v>
      </c>
      <c r="F161" s="19"/>
      <c r="G161" s="19" t="s">
        <v>17</v>
      </c>
      <c r="H161" s="19" t="s">
        <v>18</v>
      </c>
      <c r="I161" s="22" t="s">
        <v>347</v>
      </c>
      <c r="J161" s="22">
        <v>1.0</v>
      </c>
      <c r="K161" s="22">
        <v>2.0</v>
      </c>
      <c r="L161" s="22">
        <v>2.0</v>
      </c>
      <c r="M161" s="23" t="s">
        <v>140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 t="s">
        <v>348</v>
      </c>
      <c r="B162" s="11"/>
      <c r="C162" s="21"/>
      <c r="D162" s="19"/>
      <c r="E162" s="19" t="s">
        <v>230</v>
      </c>
      <c r="F162" s="19"/>
      <c r="G162" s="19" t="s">
        <v>17</v>
      </c>
      <c r="H162" s="19" t="s">
        <v>18</v>
      </c>
      <c r="I162" s="22" t="s">
        <v>349</v>
      </c>
      <c r="J162" s="22">
        <v>1.0</v>
      </c>
      <c r="K162" s="22">
        <v>2.0</v>
      </c>
      <c r="L162" s="22">
        <v>2.0</v>
      </c>
      <c r="M162" s="23" t="s">
        <v>140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 t="s">
        <v>350</v>
      </c>
      <c r="B163" s="11"/>
      <c r="C163" s="21"/>
      <c r="D163" s="19"/>
      <c r="E163" s="19" t="s">
        <v>230</v>
      </c>
      <c r="F163" s="19"/>
      <c r="G163" s="19" t="s">
        <v>17</v>
      </c>
      <c r="H163" s="19" t="s">
        <v>18</v>
      </c>
      <c r="I163" s="22" t="s">
        <v>351</v>
      </c>
      <c r="J163" s="22">
        <v>1.0</v>
      </c>
      <c r="K163" s="22">
        <v>2.0</v>
      </c>
      <c r="L163" s="22">
        <v>2.0</v>
      </c>
      <c r="M163" s="23" t="s">
        <v>140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 t="s">
        <v>352</v>
      </c>
      <c r="B164" s="11"/>
      <c r="C164" s="21"/>
      <c r="D164" s="19"/>
      <c r="E164" s="19" t="s">
        <v>230</v>
      </c>
      <c r="F164" s="19"/>
      <c r="G164" s="19" t="s">
        <v>17</v>
      </c>
      <c r="H164" s="19" t="s">
        <v>18</v>
      </c>
      <c r="I164" s="22" t="s">
        <v>353</v>
      </c>
      <c r="J164" s="22">
        <v>1.0</v>
      </c>
      <c r="K164" s="22">
        <v>2.0</v>
      </c>
      <c r="L164" s="22">
        <v>2.0</v>
      </c>
      <c r="M164" s="23" t="s">
        <v>140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 t="s">
        <v>354</v>
      </c>
      <c r="B165" s="11"/>
      <c r="C165" s="21"/>
      <c r="D165" s="19"/>
      <c r="E165" s="19" t="s">
        <v>230</v>
      </c>
      <c r="F165" s="19"/>
      <c r="G165" s="19" t="s">
        <v>17</v>
      </c>
      <c r="H165" s="19" t="s">
        <v>18</v>
      </c>
      <c r="I165" s="22" t="s">
        <v>355</v>
      </c>
      <c r="J165" s="22">
        <v>1.0</v>
      </c>
      <c r="K165" s="22">
        <v>2.0</v>
      </c>
      <c r="L165" s="22">
        <v>2.0</v>
      </c>
      <c r="M165" s="23" t="s">
        <v>140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 t="s">
        <v>356</v>
      </c>
      <c r="B166" s="11"/>
      <c r="C166" s="21"/>
      <c r="D166" s="19"/>
      <c r="E166" s="19" t="s">
        <v>230</v>
      </c>
      <c r="F166" s="19"/>
      <c r="G166" s="19" t="s">
        <v>17</v>
      </c>
      <c r="H166" s="19" t="s">
        <v>18</v>
      </c>
      <c r="I166" s="22" t="s">
        <v>357</v>
      </c>
      <c r="J166" s="22">
        <v>1.0</v>
      </c>
      <c r="K166" s="22">
        <v>2.0</v>
      </c>
      <c r="L166" s="22">
        <v>2.0</v>
      </c>
      <c r="M166" s="23" t="s">
        <v>140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 t="s">
        <v>358</v>
      </c>
      <c r="B167" s="11"/>
      <c r="C167" s="21"/>
      <c r="D167" s="19"/>
      <c r="E167" s="19" t="s">
        <v>230</v>
      </c>
      <c r="F167" s="19"/>
      <c r="G167" s="19" t="s">
        <v>17</v>
      </c>
      <c r="H167" s="19" t="s">
        <v>18</v>
      </c>
      <c r="I167" s="22" t="s">
        <v>359</v>
      </c>
      <c r="J167" s="22">
        <v>1.0</v>
      </c>
      <c r="K167" s="22">
        <v>2.0</v>
      </c>
      <c r="L167" s="22">
        <v>2.0</v>
      </c>
      <c r="M167" s="23" t="s">
        <v>140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 t="s">
        <v>360</v>
      </c>
      <c r="B168" s="11"/>
      <c r="C168" s="21"/>
      <c r="D168" s="19"/>
      <c r="E168" s="19" t="s">
        <v>230</v>
      </c>
      <c r="F168" s="19"/>
      <c r="G168" s="19" t="s">
        <v>17</v>
      </c>
      <c r="H168" s="19" t="s">
        <v>18</v>
      </c>
      <c r="I168" s="22" t="s">
        <v>361</v>
      </c>
      <c r="J168" s="22">
        <v>1.0</v>
      </c>
      <c r="K168" s="22">
        <v>2.0</v>
      </c>
      <c r="L168" s="22">
        <v>2.0</v>
      </c>
      <c r="M168" s="23" t="s">
        <v>140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 t="s">
        <v>362</v>
      </c>
      <c r="B169" s="4"/>
      <c r="C169" s="21"/>
      <c r="D169" s="19"/>
      <c r="E169" s="19" t="s">
        <v>230</v>
      </c>
      <c r="F169" s="19"/>
      <c r="G169" s="19" t="s">
        <v>17</v>
      </c>
      <c r="H169" s="19" t="s">
        <v>18</v>
      </c>
      <c r="I169" s="22" t="s">
        <v>363</v>
      </c>
      <c r="J169" s="22">
        <v>1.0</v>
      </c>
      <c r="K169" s="22">
        <v>2.0</v>
      </c>
      <c r="L169" s="22">
        <v>2.0</v>
      </c>
      <c r="M169" s="23" t="s">
        <v>140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5" t="s">
        <v>364</v>
      </c>
      <c r="B170" s="18" t="s">
        <v>365</v>
      </c>
      <c r="C170" s="16"/>
      <c r="D170" s="5" t="s">
        <v>366</v>
      </c>
      <c r="E170" s="5" t="s">
        <v>367</v>
      </c>
      <c r="F170" s="5">
        <v>0.1</v>
      </c>
      <c r="G170" s="5" t="s">
        <v>17</v>
      </c>
      <c r="H170" s="5" t="s">
        <v>18</v>
      </c>
      <c r="I170" s="8" t="s">
        <v>368</v>
      </c>
      <c r="J170" s="8">
        <v>1.0</v>
      </c>
      <c r="K170" s="8">
        <v>1.0</v>
      </c>
      <c r="L170" s="8">
        <v>1.0</v>
      </c>
      <c r="M170" s="9" t="s">
        <v>369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1"/>
      <c r="C171" s="25" t="s">
        <v>370</v>
      </c>
      <c r="D171" s="5"/>
      <c r="E171" s="26" t="s">
        <v>371</v>
      </c>
      <c r="F171" s="5">
        <v>0.1</v>
      </c>
      <c r="G171" s="5" t="s">
        <v>17</v>
      </c>
      <c r="H171" s="5" t="s">
        <v>18</v>
      </c>
      <c r="I171" s="8" t="s">
        <v>372</v>
      </c>
      <c r="J171" s="8">
        <v>39.0</v>
      </c>
      <c r="K171" s="8">
        <v>1.0</v>
      </c>
      <c r="L171" s="8">
        <v>39.0</v>
      </c>
      <c r="M171" s="9" t="s">
        <v>369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1"/>
      <c r="C172" s="16"/>
      <c r="D172" s="5" t="s">
        <v>366</v>
      </c>
      <c r="E172" s="5" t="s">
        <v>373</v>
      </c>
      <c r="F172" s="5">
        <v>0.1</v>
      </c>
      <c r="G172" s="5" t="s">
        <v>17</v>
      </c>
      <c r="H172" s="5" t="s">
        <v>18</v>
      </c>
      <c r="I172" s="8" t="s">
        <v>374</v>
      </c>
      <c r="J172" s="8">
        <v>1.0</v>
      </c>
      <c r="K172" s="8">
        <v>1.0</v>
      </c>
      <c r="L172" s="8">
        <v>1.0</v>
      </c>
      <c r="M172" s="9" t="s">
        <v>369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1"/>
      <c r="C173" s="25" t="s">
        <v>370</v>
      </c>
      <c r="D173" s="5"/>
      <c r="E173" s="5" t="s">
        <v>375</v>
      </c>
      <c r="F173" s="5">
        <v>0.1</v>
      </c>
      <c r="G173" s="5" t="s">
        <v>17</v>
      </c>
      <c r="H173" s="5" t="s">
        <v>18</v>
      </c>
      <c r="I173" s="8" t="s">
        <v>376</v>
      </c>
      <c r="J173" s="8">
        <v>39.0</v>
      </c>
      <c r="K173" s="8">
        <v>1.0</v>
      </c>
      <c r="L173" s="8">
        <v>39.0</v>
      </c>
      <c r="M173" s="9" t="s">
        <v>369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7"/>
      <c r="B174" s="11"/>
      <c r="C174" s="16"/>
      <c r="D174" s="5" t="s">
        <v>366</v>
      </c>
      <c r="E174" s="5" t="s">
        <v>377</v>
      </c>
      <c r="F174" s="5">
        <v>0.1</v>
      </c>
      <c r="G174" s="5" t="s">
        <v>17</v>
      </c>
      <c r="H174" s="5" t="s">
        <v>18</v>
      </c>
      <c r="I174" s="8" t="s">
        <v>378</v>
      </c>
      <c r="J174" s="8">
        <v>1.0</v>
      </c>
      <c r="K174" s="8">
        <v>1.0</v>
      </c>
      <c r="L174" s="8">
        <v>1.0</v>
      </c>
      <c r="M174" s="9" t="s">
        <v>369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11"/>
      <c r="C175" s="25" t="s">
        <v>370</v>
      </c>
      <c r="D175" s="5"/>
      <c r="E175" s="5" t="s">
        <v>379</v>
      </c>
      <c r="F175" s="5">
        <v>0.1</v>
      </c>
      <c r="G175" s="5" t="s">
        <v>17</v>
      </c>
      <c r="H175" s="5" t="s">
        <v>18</v>
      </c>
      <c r="I175" s="28" t="s">
        <v>380</v>
      </c>
      <c r="J175" s="8">
        <v>39.0</v>
      </c>
      <c r="K175" s="8">
        <v>1.0</v>
      </c>
      <c r="L175" s="8">
        <v>39.0</v>
      </c>
      <c r="M175" s="9" t="s">
        <v>369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1"/>
      <c r="C176" s="16"/>
      <c r="D176" s="5" t="s">
        <v>366</v>
      </c>
      <c r="E176" s="5" t="s">
        <v>381</v>
      </c>
      <c r="F176" s="5">
        <v>0.1</v>
      </c>
      <c r="G176" s="5" t="s">
        <v>17</v>
      </c>
      <c r="H176" s="5" t="s">
        <v>18</v>
      </c>
      <c r="I176" s="8" t="s">
        <v>382</v>
      </c>
      <c r="J176" s="8">
        <v>1.0</v>
      </c>
      <c r="K176" s="8">
        <v>1.0</v>
      </c>
      <c r="L176" s="8">
        <v>1.0</v>
      </c>
      <c r="M176" s="9" t="s">
        <v>369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1"/>
      <c r="C177" s="25" t="s">
        <v>370</v>
      </c>
      <c r="D177" s="5"/>
      <c r="E177" s="5" t="s">
        <v>383</v>
      </c>
      <c r="F177" s="5">
        <v>0.1</v>
      </c>
      <c r="G177" s="5" t="s">
        <v>17</v>
      </c>
      <c r="H177" s="5" t="s">
        <v>18</v>
      </c>
      <c r="I177" s="28" t="s">
        <v>384</v>
      </c>
      <c r="J177" s="8">
        <v>39.0</v>
      </c>
      <c r="K177" s="8">
        <v>1.0</v>
      </c>
      <c r="L177" s="8">
        <v>39.0</v>
      </c>
      <c r="M177" s="9" t="s">
        <v>369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1"/>
      <c r="C178" s="16"/>
      <c r="D178" s="5" t="s">
        <v>366</v>
      </c>
      <c r="E178" s="5" t="s">
        <v>385</v>
      </c>
      <c r="F178" s="5">
        <v>0.1</v>
      </c>
      <c r="G178" s="5" t="s">
        <v>17</v>
      </c>
      <c r="H178" s="5" t="s">
        <v>18</v>
      </c>
      <c r="I178" s="8" t="s">
        <v>386</v>
      </c>
      <c r="J178" s="8">
        <v>1.0</v>
      </c>
      <c r="K178" s="8">
        <v>1.0</v>
      </c>
      <c r="L178" s="8">
        <v>1.0</v>
      </c>
      <c r="M178" s="9" t="s">
        <v>369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1"/>
      <c r="C179" s="25" t="s">
        <v>370</v>
      </c>
      <c r="D179" s="5"/>
      <c r="E179" s="5" t="s">
        <v>387</v>
      </c>
      <c r="F179" s="5">
        <v>0.1</v>
      </c>
      <c r="G179" s="5" t="s">
        <v>17</v>
      </c>
      <c r="H179" s="5" t="s">
        <v>18</v>
      </c>
      <c r="I179" s="8" t="s">
        <v>388</v>
      </c>
      <c r="J179" s="8">
        <v>39.0</v>
      </c>
      <c r="K179" s="8">
        <v>1.0</v>
      </c>
      <c r="L179" s="8">
        <v>39.0</v>
      </c>
      <c r="M179" s="9" t="s">
        <v>369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1"/>
      <c r="C180" s="16"/>
      <c r="D180" s="5" t="s">
        <v>366</v>
      </c>
      <c r="E180" s="5" t="s">
        <v>389</v>
      </c>
      <c r="F180" s="5">
        <v>0.1</v>
      </c>
      <c r="G180" s="5" t="s">
        <v>17</v>
      </c>
      <c r="H180" s="5" t="s">
        <v>18</v>
      </c>
      <c r="I180" s="8" t="s">
        <v>390</v>
      </c>
      <c r="J180" s="8">
        <v>1.0</v>
      </c>
      <c r="K180" s="8">
        <v>1.0</v>
      </c>
      <c r="L180" s="8">
        <v>1.0</v>
      </c>
      <c r="M180" s="9" t="s">
        <v>369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4"/>
      <c r="C181" s="25" t="s">
        <v>370</v>
      </c>
      <c r="D181" s="5"/>
      <c r="E181" s="5" t="s">
        <v>391</v>
      </c>
      <c r="F181" s="5">
        <v>0.1</v>
      </c>
      <c r="G181" s="5" t="s">
        <v>17</v>
      </c>
      <c r="H181" s="5" t="s">
        <v>18</v>
      </c>
      <c r="I181" s="8" t="s">
        <v>392</v>
      </c>
      <c r="J181" s="8">
        <v>39.0</v>
      </c>
      <c r="K181" s="8">
        <v>1.0</v>
      </c>
      <c r="L181" s="8">
        <v>39.0</v>
      </c>
      <c r="M181" s="9" t="s">
        <v>369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 t="s">
        <v>393</v>
      </c>
      <c r="B182" s="18" t="s">
        <v>394</v>
      </c>
      <c r="C182" s="16"/>
      <c r="D182" s="5" t="s">
        <v>366</v>
      </c>
      <c r="E182" s="5" t="s">
        <v>367</v>
      </c>
      <c r="F182" s="5">
        <v>0.1</v>
      </c>
      <c r="G182" s="5" t="s">
        <v>17</v>
      </c>
      <c r="H182" s="5" t="s">
        <v>18</v>
      </c>
      <c r="I182" s="8" t="s">
        <v>395</v>
      </c>
      <c r="J182" s="8">
        <v>1.0</v>
      </c>
      <c r="K182" s="8">
        <v>1.0</v>
      </c>
      <c r="L182" s="8">
        <v>1.0</v>
      </c>
      <c r="M182" s="9" t="s">
        <v>369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1"/>
      <c r="C183" s="25" t="s">
        <v>370</v>
      </c>
      <c r="D183" s="5"/>
      <c r="E183" s="5" t="s">
        <v>371</v>
      </c>
      <c r="F183" s="5">
        <v>0.1</v>
      </c>
      <c r="G183" s="5" t="s">
        <v>17</v>
      </c>
      <c r="H183" s="5" t="s">
        <v>18</v>
      </c>
      <c r="I183" s="8">
        <v>6001.0</v>
      </c>
      <c r="J183" s="8">
        <v>39.0</v>
      </c>
      <c r="K183" s="8">
        <v>1.0</v>
      </c>
      <c r="L183" s="8">
        <v>39.0</v>
      </c>
      <c r="M183" s="9" t="s">
        <v>369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1"/>
      <c r="C184" s="16"/>
      <c r="D184" s="5" t="s">
        <v>366</v>
      </c>
      <c r="E184" s="5" t="s">
        <v>373</v>
      </c>
      <c r="F184" s="5">
        <v>0.1</v>
      </c>
      <c r="G184" s="5" t="s">
        <v>17</v>
      </c>
      <c r="H184" s="5" t="s">
        <v>18</v>
      </c>
      <c r="I184" s="8" t="s">
        <v>396</v>
      </c>
      <c r="J184" s="8">
        <v>1.0</v>
      </c>
      <c r="K184" s="8">
        <v>1.0</v>
      </c>
      <c r="L184" s="8">
        <v>1.0</v>
      </c>
      <c r="M184" s="9" t="s">
        <v>369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1"/>
      <c r="C185" s="25" t="s">
        <v>370</v>
      </c>
      <c r="D185" s="5"/>
      <c r="E185" s="5" t="s">
        <v>375</v>
      </c>
      <c r="F185" s="5">
        <v>0.1</v>
      </c>
      <c r="G185" s="5" t="s">
        <v>17</v>
      </c>
      <c r="H185" s="5" t="s">
        <v>18</v>
      </c>
      <c r="I185" s="8">
        <v>6081.0</v>
      </c>
      <c r="J185" s="8">
        <v>39.0</v>
      </c>
      <c r="K185" s="8">
        <v>1.0</v>
      </c>
      <c r="L185" s="8">
        <v>39.0</v>
      </c>
      <c r="M185" s="9" t="s">
        <v>369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1"/>
      <c r="C186" s="16"/>
      <c r="D186" s="5" t="s">
        <v>366</v>
      </c>
      <c r="E186" s="5" t="s">
        <v>377</v>
      </c>
      <c r="F186" s="5">
        <v>0.1</v>
      </c>
      <c r="G186" s="5" t="s">
        <v>17</v>
      </c>
      <c r="H186" s="5" t="s">
        <v>18</v>
      </c>
      <c r="I186" s="8" t="s">
        <v>397</v>
      </c>
      <c r="J186" s="8">
        <v>1.0</v>
      </c>
      <c r="K186" s="8">
        <v>1.0</v>
      </c>
      <c r="L186" s="8">
        <v>1.0</v>
      </c>
      <c r="M186" s="9" t="s">
        <v>369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1"/>
      <c r="C187" s="25" t="s">
        <v>370</v>
      </c>
      <c r="D187" s="5"/>
      <c r="E187" s="5" t="s">
        <v>379</v>
      </c>
      <c r="F187" s="5">
        <v>0.1</v>
      </c>
      <c r="G187" s="5" t="s">
        <v>17</v>
      </c>
      <c r="H187" s="5" t="s">
        <v>18</v>
      </c>
      <c r="I187" s="8">
        <v>6101.0</v>
      </c>
      <c r="J187" s="8">
        <v>39.0</v>
      </c>
      <c r="K187" s="8">
        <v>1.0</v>
      </c>
      <c r="L187" s="8">
        <v>39.0</v>
      </c>
      <c r="M187" s="9" t="s">
        <v>369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1"/>
      <c r="C188" s="16"/>
      <c r="D188" s="5" t="s">
        <v>366</v>
      </c>
      <c r="E188" s="5" t="s">
        <v>398</v>
      </c>
      <c r="F188" s="5">
        <v>0.1</v>
      </c>
      <c r="G188" s="5" t="s">
        <v>17</v>
      </c>
      <c r="H188" s="5" t="s">
        <v>18</v>
      </c>
      <c r="I188" s="8" t="s">
        <v>399</v>
      </c>
      <c r="J188" s="8">
        <v>1.0</v>
      </c>
      <c r="K188" s="8">
        <v>1.0</v>
      </c>
      <c r="L188" s="8">
        <v>1.0</v>
      </c>
      <c r="M188" s="9" t="s">
        <v>369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4"/>
      <c r="C189" s="25" t="s">
        <v>370</v>
      </c>
      <c r="D189" s="5"/>
      <c r="E189" s="5" t="s">
        <v>400</v>
      </c>
      <c r="F189" s="5">
        <v>0.1</v>
      </c>
      <c r="G189" s="5" t="s">
        <v>17</v>
      </c>
      <c r="H189" s="5" t="s">
        <v>18</v>
      </c>
      <c r="I189" s="8">
        <v>6181.0</v>
      </c>
      <c r="J189" s="8">
        <v>39.0</v>
      </c>
      <c r="K189" s="8">
        <v>1.0</v>
      </c>
      <c r="L189" s="8">
        <v>39.0</v>
      </c>
      <c r="M189" s="9" t="s">
        <v>369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 t="s">
        <v>401</v>
      </c>
      <c r="B190" s="29" t="s">
        <v>402</v>
      </c>
      <c r="C190" s="16"/>
      <c r="D190" s="5" t="s">
        <v>366</v>
      </c>
      <c r="E190" s="5" t="s">
        <v>403</v>
      </c>
      <c r="F190" s="5">
        <v>0.1</v>
      </c>
      <c r="G190" s="5" t="s">
        <v>17</v>
      </c>
      <c r="H190" s="5" t="s">
        <v>18</v>
      </c>
      <c r="I190" s="8">
        <v>6200.0</v>
      </c>
      <c r="J190" s="8">
        <v>1.0</v>
      </c>
      <c r="K190" s="8">
        <v>2.0</v>
      </c>
      <c r="L190" s="8">
        <v>2.0</v>
      </c>
      <c r="M190" s="9" t="s">
        <v>369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1"/>
      <c r="C191" s="16"/>
      <c r="D191" s="5" t="s">
        <v>366</v>
      </c>
      <c r="E191" s="5" t="s">
        <v>404</v>
      </c>
      <c r="F191" s="5">
        <v>0.1</v>
      </c>
      <c r="G191" s="5" t="s">
        <v>17</v>
      </c>
      <c r="H191" s="5" t="s">
        <v>18</v>
      </c>
      <c r="I191" s="8">
        <v>6202.0</v>
      </c>
      <c r="J191" s="8">
        <v>1.0</v>
      </c>
      <c r="K191" s="8">
        <v>2.0</v>
      </c>
      <c r="L191" s="8">
        <v>2.0</v>
      </c>
      <c r="M191" s="9" t="s">
        <v>369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4"/>
      <c r="C192" s="16"/>
      <c r="D192" s="5" t="s">
        <v>366</v>
      </c>
      <c r="E192" s="5" t="s">
        <v>85</v>
      </c>
      <c r="F192" s="5">
        <v>0.1</v>
      </c>
      <c r="G192" s="5" t="s">
        <v>17</v>
      </c>
      <c r="H192" s="5" t="s">
        <v>18</v>
      </c>
      <c r="I192" s="8">
        <v>6204.0</v>
      </c>
      <c r="J192" s="8">
        <v>1.0</v>
      </c>
      <c r="K192" s="8">
        <v>2.0</v>
      </c>
      <c r="L192" s="8">
        <v>2.0</v>
      </c>
      <c r="M192" s="9" t="s">
        <v>369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0" t="s">
        <v>405</v>
      </c>
      <c r="B193" s="31"/>
      <c r="C193" s="31"/>
      <c r="D193" s="30" t="s">
        <v>406</v>
      </c>
      <c r="E193" s="30" t="s">
        <v>407</v>
      </c>
      <c r="F193" s="30"/>
      <c r="G193" s="30"/>
      <c r="H193" s="30" t="s">
        <v>408</v>
      </c>
      <c r="I193" s="32" t="s">
        <v>409</v>
      </c>
      <c r="J193" s="32">
        <v>1.0</v>
      </c>
      <c r="K193" s="32">
        <v>1.0</v>
      </c>
      <c r="L193" s="32">
        <v>1.0</v>
      </c>
      <c r="M193" s="33" t="s">
        <v>410</v>
      </c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1"/>
      <c r="C194" s="31"/>
      <c r="D194" s="30" t="s">
        <v>406</v>
      </c>
      <c r="E194" s="30" t="s">
        <v>411</v>
      </c>
      <c r="F194" s="30"/>
      <c r="G194" s="30"/>
      <c r="H194" s="30" t="s">
        <v>408</v>
      </c>
      <c r="I194" s="32">
        <v>6301.0</v>
      </c>
      <c r="J194" s="32">
        <v>1.0</v>
      </c>
      <c r="K194" s="32">
        <v>1.0</v>
      </c>
      <c r="L194" s="32">
        <v>1.0</v>
      </c>
      <c r="M194" s="33" t="s">
        <v>410</v>
      </c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 t="s">
        <v>412</v>
      </c>
      <c r="B195" s="31"/>
      <c r="C195" s="31"/>
      <c r="D195" s="30"/>
      <c r="E195" s="30" t="s">
        <v>413</v>
      </c>
      <c r="F195" s="30"/>
      <c r="G195" s="30" t="s">
        <v>17</v>
      </c>
      <c r="H195" s="30" t="s">
        <v>414</v>
      </c>
      <c r="I195" s="32" t="s">
        <v>415</v>
      </c>
      <c r="J195" s="32">
        <v>1.0</v>
      </c>
      <c r="K195" s="32">
        <v>1.0</v>
      </c>
      <c r="L195" s="32">
        <v>1.0</v>
      </c>
      <c r="M195" s="33" t="s">
        <v>416</v>
      </c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1"/>
      <c r="C196" s="31"/>
      <c r="D196" s="30"/>
      <c r="E196" s="30" t="s">
        <v>417</v>
      </c>
      <c r="F196" s="30"/>
      <c r="G196" s="30" t="s">
        <v>17</v>
      </c>
      <c r="H196" s="30" t="s">
        <v>408</v>
      </c>
      <c r="I196" s="32">
        <v>6501.0</v>
      </c>
      <c r="J196" s="32">
        <v>1.0</v>
      </c>
      <c r="K196" s="32">
        <v>1.0</v>
      </c>
      <c r="L196" s="32">
        <v>1.0</v>
      </c>
      <c r="M196" s="33" t="s">
        <v>416</v>
      </c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1"/>
      <c r="C197" s="31"/>
      <c r="D197" s="30"/>
      <c r="E197" s="30" t="s">
        <v>418</v>
      </c>
      <c r="F197" s="30"/>
      <c r="G197" s="30" t="s">
        <v>17</v>
      </c>
      <c r="H197" s="30" t="s">
        <v>408</v>
      </c>
      <c r="I197" s="32">
        <v>6507.0</v>
      </c>
      <c r="J197" s="32">
        <v>1.0</v>
      </c>
      <c r="K197" s="32">
        <v>1.0</v>
      </c>
      <c r="L197" s="32">
        <v>1.0</v>
      </c>
      <c r="M197" s="33" t="s">
        <v>416</v>
      </c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1"/>
      <c r="C198" s="31"/>
      <c r="D198" s="30"/>
      <c r="E198" s="30" t="s">
        <v>419</v>
      </c>
      <c r="F198" s="30"/>
      <c r="G198" s="30"/>
      <c r="H198" s="30" t="s">
        <v>18</v>
      </c>
      <c r="I198" s="32">
        <v>6510.0</v>
      </c>
      <c r="J198" s="32">
        <v>1.0</v>
      </c>
      <c r="K198" s="32">
        <v>105.0</v>
      </c>
      <c r="L198" s="32">
        <v>105.0</v>
      </c>
      <c r="M198" s="33" t="s">
        <v>416</v>
      </c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 t="s">
        <v>420</v>
      </c>
      <c r="B199" s="31"/>
      <c r="C199" s="31"/>
      <c r="D199" s="30"/>
      <c r="E199" s="30" t="s">
        <v>413</v>
      </c>
      <c r="F199" s="30"/>
      <c r="G199" s="30" t="s">
        <v>17</v>
      </c>
      <c r="H199" s="30" t="s">
        <v>414</v>
      </c>
      <c r="I199" s="32" t="s">
        <v>421</v>
      </c>
      <c r="J199" s="32">
        <v>1.0</v>
      </c>
      <c r="K199" s="32">
        <v>1.0</v>
      </c>
      <c r="L199" s="32">
        <v>1.0</v>
      </c>
      <c r="M199" s="33" t="s">
        <v>416</v>
      </c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1"/>
      <c r="C200" s="31"/>
      <c r="D200" s="30"/>
      <c r="E200" s="30" t="s">
        <v>417</v>
      </c>
      <c r="F200" s="30"/>
      <c r="G200" s="30" t="s">
        <v>17</v>
      </c>
      <c r="H200" s="30" t="s">
        <v>408</v>
      </c>
      <c r="I200" s="32" t="s">
        <v>422</v>
      </c>
      <c r="J200" s="32">
        <v>1.0</v>
      </c>
      <c r="K200" s="32">
        <v>1.0</v>
      </c>
      <c r="L200" s="32">
        <v>1.0</v>
      </c>
      <c r="M200" s="33" t="s">
        <v>416</v>
      </c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1"/>
      <c r="C201" s="31"/>
      <c r="D201" s="30"/>
      <c r="E201" s="30" t="s">
        <v>418</v>
      </c>
      <c r="F201" s="30"/>
      <c r="G201" s="30" t="s">
        <v>17</v>
      </c>
      <c r="H201" s="30" t="s">
        <v>408</v>
      </c>
      <c r="I201" s="32" t="s">
        <v>423</v>
      </c>
      <c r="J201" s="32">
        <v>1.0</v>
      </c>
      <c r="K201" s="32">
        <v>1.0</v>
      </c>
      <c r="L201" s="32">
        <v>1.0</v>
      </c>
      <c r="M201" s="33" t="s">
        <v>416</v>
      </c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1"/>
      <c r="C202" s="31"/>
      <c r="D202" s="30"/>
      <c r="E202" s="30" t="s">
        <v>419</v>
      </c>
      <c r="F202" s="30"/>
      <c r="G202" s="30"/>
      <c r="H202" s="30" t="s">
        <v>18</v>
      </c>
      <c r="I202" s="32" t="s">
        <v>424</v>
      </c>
      <c r="J202" s="32">
        <v>1.0</v>
      </c>
      <c r="K202" s="32">
        <v>105.0</v>
      </c>
      <c r="L202" s="32">
        <v>105.0</v>
      </c>
      <c r="M202" s="33" t="s">
        <v>416</v>
      </c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 t="s">
        <v>425</v>
      </c>
      <c r="B203" s="31"/>
      <c r="C203" s="31"/>
      <c r="D203" s="30"/>
      <c r="E203" s="30" t="s">
        <v>413</v>
      </c>
      <c r="F203" s="30"/>
      <c r="G203" s="30" t="s">
        <v>17</v>
      </c>
      <c r="H203" s="30" t="s">
        <v>414</v>
      </c>
      <c r="I203" s="32">
        <v>6660.0</v>
      </c>
      <c r="J203" s="32">
        <v>1.0</v>
      </c>
      <c r="K203" s="32">
        <v>1.0</v>
      </c>
      <c r="L203" s="32">
        <v>1.0</v>
      </c>
      <c r="M203" s="33" t="s">
        <v>416</v>
      </c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1"/>
      <c r="C204" s="31"/>
      <c r="D204" s="30"/>
      <c r="E204" s="30" t="s">
        <v>417</v>
      </c>
      <c r="F204" s="30"/>
      <c r="G204" s="30" t="s">
        <v>17</v>
      </c>
      <c r="H204" s="30" t="s">
        <v>408</v>
      </c>
      <c r="I204" s="32">
        <v>6661.0</v>
      </c>
      <c r="J204" s="32">
        <v>1.0</v>
      </c>
      <c r="K204" s="32">
        <v>1.0</v>
      </c>
      <c r="L204" s="32">
        <v>1.0</v>
      </c>
      <c r="M204" s="33" t="s">
        <v>416</v>
      </c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1"/>
      <c r="C205" s="31"/>
      <c r="D205" s="30"/>
      <c r="E205" s="30" t="s">
        <v>418</v>
      </c>
      <c r="F205" s="30"/>
      <c r="G205" s="30" t="s">
        <v>17</v>
      </c>
      <c r="H205" s="30" t="s">
        <v>408</v>
      </c>
      <c r="I205" s="32">
        <v>6667.0</v>
      </c>
      <c r="J205" s="32">
        <v>1.0</v>
      </c>
      <c r="K205" s="32">
        <v>1.0</v>
      </c>
      <c r="L205" s="32">
        <v>1.0</v>
      </c>
      <c r="M205" s="33" t="s">
        <v>416</v>
      </c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1"/>
      <c r="C206" s="31"/>
      <c r="D206" s="30"/>
      <c r="E206" s="30" t="s">
        <v>426</v>
      </c>
      <c r="F206" s="30"/>
      <c r="G206" s="30" t="s">
        <v>17</v>
      </c>
      <c r="H206" s="30" t="s">
        <v>18</v>
      </c>
      <c r="I206" s="32">
        <v>6670.0</v>
      </c>
      <c r="J206" s="32">
        <v>1.0</v>
      </c>
      <c r="K206" s="32">
        <v>2.0</v>
      </c>
      <c r="L206" s="32">
        <v>2.0</v>
      </c>
      <c r="M206" s="33" t="s">
        <v>416</v>
      </c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1"/>
      <c r="C207" s="31"/>
      <c r="D207" s="30"/>
      <c r="E207" s="30" t="s">
        <v>427</v>
      </c>
      <c r="F207" s="30"/>
      <c r="G207" s="30" t="s">
        <v>17</v>
      </c>
      <c r="H207" s="30" t="s">
        <v>18</v>
      </c>
      <c r="I207" s="32" t="str">
        <f t="shared" ref="I207:I227" si="1">DEC2HEX(HEX2DEC(I206)+K206)</f>
        <v>6672</v>
      </c>
      <c r="J207" s="32">
        <v>1.0</v>
      </c>
      <c r="K207" s="32">
        <v>2.0</v>
      </c>
      <c r="L207" s="32">
        <v>2.0</v>
      </c>
      <c r="M207" s="33" t="s">
        <v>416</v>
      </c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1"/>
      <c r="C208" s="31"/>
      <c r="D208" s="30"/>
      <c r="E208" s="30" t="s">
        <v>428</v>
      </c>
      <c r="F208" s="30"/>
      <c r="G208" s="30" t="s">
        <v>17</v>
      </c>
      <c r="H208" s="30" t="s">
        <v>18</v>
      </c>
      <c r="I208" s="32" t="str">
        <f t="shared" si="1"/>
        <v>6674</v>
      </c>
      <c r="J208" s="32">
        <v>1.0</v>
      </c>
      <c r="K208" s="32">
        <v>1.0</v>
      </c>
      <c r="L208" s="32">
        <v>1.0</v>
      </c>
      <c r="M208" s="33" t="s">
        <v>416</v>
      </c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1"/>
      <c r="C209" s="31"/>
      <c r="D209" s="30"/>
      <c r="E209" s="30" t="s">
        <v>429</v>
      </c>
      <c r="F209" s="30"/>
      <c r="G209" s="30" t="s">
        <v>430</v>
      </c>
      <c r="H209" s="30" t="s">
        <v>18</v>
      </c>
      <c r="I209" s="32" t="str">
        <f t="shared" si="1"/>
        <v>6675</v>
      </c>
      <c r="J209" s="32">
        <v>1.0</v>
      </c>
      <c r="K209" s="32">
        <v>6.0</v>
      </c>
      <c r="L209" s="32">
        <v>6.0</v>
      </c>
      <c r="M209" s="33" t="s">
        <v>416</v>
      </c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1"/>
      <c r="C210" s="31"/>
      <c r="D210" s="30"/>
      <c r="E210" s="30" t="s">
        <v>431</v>
      </c>
      <c r="F210" s="30"/>
      <c r="G210" s="30" t="s">
        <v>17</v>
      </c>
      <c r="H210" s="30" t="s">
        <v>18</v>
      </c>
      <c r="I210" s="32" t="str">
        <f t="shared" si="1"/>
        <v>667B</v>
      </c>
      <c r="J210" s="32">
        <v>1.0</v>
      </c>
      <c r="K210" s="32">
        <v>2.0</v>
      </c>
      <c r="L210" s="32">
        <v>2.0</v>
      </c>
      <c r="M210" s="33" t="s">
        <v>416</v>
      </c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1"/>
      <c r="C211" s="31"/>
      <c r="D211" s="30"/>
      <c r="E211" s="30" t="s">
        <v>432</v>
      </c>
      <c r="F211" s="30"/>
      <c r="G211" s="30" t="s">
        <v>17</v>
      </c>
      <c r="H211" s="30" t="s">
        <v>18</v>
      </c>
      <c r="I211" s="32" t="str">
        <f t="shared" si="1"/>
        <v>667D</v>
      </c>
      <c r="J211" s="32">
        <v>1.0</v>
      </c>
      <c r="K211" s="32">
        <v>2.0</v>
      </c>
      <c r="L211" s="32">
        <v>2.0</v>
      </c>
      <c r="M211" s="33" t="s">
        <v>416</v>
      </c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1"/>
      <c r="C212" s="31"/>
      <c r="D212" s="30"/>
      <c r="E212" s="30" t="s">
        <v>433</v>
      </c>
      <c r="F212" s="30"/>
      <c r="G212" s="30" t="s">
        <v>17</v>
      </c>
      <c r="H212" s="30" t="s">
        <v>18</v>
      </c>
      <c r="I212" s="32" t="str">
        <f t="shared" si="1"/>
        <v>667F</v>
      </c>
      <c r="J212" s="32">
        <v>1.0</v>
      </c>
      <c r="K212" s="32">
        <v>2.0</v>
      </c>
      <c r="L212" s="32">
        <v>2.0</v>
      </c>
      <c r="M212" s="33" t="s">
        <v>416</v>
      </c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1"/>
      <c r="C213" s="31"/>
      <c r="D213" s="30"/>
      <c r="E213" s="30" t="s">
        <v>434</v>
      </c>
      <c r="F213" s="30"/>
      <c r="G213" s="30" t="s">
        <v>17</v>
      </c>
      <c r="H213" s="30" t="s">
        <v>18</v>
      </c>
      <c r="I213" s="32" t="str">
        <f t="shared" si="1"/>
        <v>6681</v>
      </c>
      <c r="J213" s="32">
        <v>1.0</v>
      </c>
      <c r="K213" s="32">
        <v>2.0</v>
      </c>
      <c r="L213" s="32">
        <v>2.0</v>
      </c>
      <c r="M213" s="33" t="s">
        <v>416</v>
      </c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1"/>
      <c r="C214" s="31"/>
      <c r="D214" s="30"/>
      <c r="E214" s="30" t="s">
        <v>435</v>
      </c>
      <c r="F214" s="30"/>
      <c r="G214" s="30" t="s">
        <v>17</v>
      </c>
      <c r="H214" s="30" t="s">
        <v>18</v>
      </c>
      <c r="I214" s="32" t="str">
        <f t="shared" si="1"/>
        <v>6683</v>
      </c>
      <c r="J214" s="32">
        <v>1.0</v>
      </c>
      <c r="K214" s="32">
        <v>2.0</v>
      </c>
      <c r="L214" s="32">
        <v>2.0</v>
      </c>
      <c r="M214" s="33" t="s">
        <v>416</v>
      </c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1"/>
      <c r="C215" s="31"/>
      <c r="D215" s="30"/>
      <c r="E215" s="30" t="s">
        <v>436</v>
      </c>
      <c r="F215" s="30"/>
      <c r="G215" s="30" t="s">
        <v>17</v>
      </c>
      <c r="H215" s="30" t="s">
        <v>18</v>
      </c>
      <c r="I215" s="32" t="str">
        <f t="shared" si="1"/>
        <v>6685</v>
      </c>
      <c r="J215" s="32">
        <v>1.0</v>
      </c>
      <c r="K215" s="32">
        <v>2.0</v>
      </c>
      <c r="L215" s="32">
        <v>2.0</v>
      </c>
      <c r="M215" s="33" t="s">
        <v>416</v>
      </c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1"/>
      <c r="C216" s="31"/>
      <c r="D216" s="30"/>
      <c r="E216" s="30" t="s">
        <v>437</v>
      </c>
      <c r="F216" s="30"/>
      <c r="G216" s="30" t="s">
        <v>17</v>
      </c>
      <c r="H216" s="30" t="s">
        <v>18</v>
      </c>
      <c r="I216" s="32" t="str">
        <f t="shared" si="1"/>
        <v>6687</v>
      </c>
      <c r="J216" s="32">
        <v>1.0</v>
      </c>
      <c r="K216" s="32">
        <v>1.0</v>
      </c>
      <c r="L216" s="32">
        <v>1.0</v>
      </c>
      <c r="M216" s="33" t="s">
        <v>416</v>
      </c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1"/>
      <c r="C217" s="31"/>
      <c r="D217" s="30"/>
      <c r="E217" s="30" t="s">
        <v>438</v>
      </c>
      <c r="F217" s="30">
        <v>0.001</v>
      </c>
      <c r="G217" s="30" t="s">
        <v>17</v>
      </c>
      <c r="H217" s="30" t="s">
        <v>18</v>
      </c>
      <c r="I217" s="32" t="str">
        <f t="shared" si="1"/>
        <v>6688</v>
      </c>
      <c r="J217" s="32">
        <v>1.0</v>
      </c>
      <c r="K217" s="32">
        <v>4.0</v>
      </c>
      <c r="L217" s="32">
        <v>4.0</v>
      </c>
      <c r="M217" s="33" t="s">
        <v>416</v>
      </c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1"/>
      <c r="C218" s="31"/>
      <c r="D218" s="30"/>
      <c r="E218" s="30" t="s">
        <v>439</v>
      </c>
      <c r="F218" s="30">
        <v>0.001</v>
      </c>
      <c r="G218" s="30" t="s">
        <v>17</v>
      </c>
      <c r="H218" s="30" t="s">
        <v>18</v>
      </c>
      <c r="I218" s="32" t="str">
        <f t="shared" si="1"/>
        <v>668C</v>
      </c>
      <c r="J218" s="32">
        <v>1.0</v>
      </c>
      <c r="K218" s="32">
        <v>4.0</v>
      </c>
      <c r="L218" s="32">
        <v>4.0</v>
      </c>
      <c r="M218" s="33" t="s">
        <v>416</v>
      </c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1"/>
      <c r="C219" s="31"/>
      <c r="D219" s="30"/>
      <c r="E219" s="30" t="s">
        <v>440</v>
      </c>
      <c r="F219" s="30">
        <v>0.001</v>
      </c>
      <c r="G219" s="30" t="s">
        <v>17</v>
      </c>
      <c r="H219" s="30" t="s">
        <v>18</v>
      </c>
      <c r="I219" s="32" t="str">
        <f t="shared" si="1"/>
        <v>6690</v>
      </c>
      <c r="J219" s="32">
        <v>1.0</v>
      </c>
      <c r="K219" s="32">
        <v>4.0</v>
      </c>
      <c r="L219" s="32">
        <v>4.0</v>
      </c>
      <c r="M219" s="33" t="s">
        <v>416</v>
      </c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1"/>
      <c r="C220" s="31"/>
      <c r="D220" s="30"/>
      <c r="E220" s="30" t="s">
        <v>441</v>
      </c>
      <c r="F220" s="30">
        <v>0.001</v>
      </c>
      <c r="G220" s="30" t="s">
        <v>17</v>
      </c>
      <c r="H220" s="30" t="s">
        <v>18</v>
      </c>
      <c r="I220" s="32" t="str">
        <f t="shared" si="1"/>
        <v>6694</v>
      </c>
      <c r="J220" s="32">
        <v>1.0</v>
      </c>
      <c r="K220" s="32">
        <v>4.0</v>
      </c>
      <c r="L220" s="32">
        <v>4.0</v>
      </c>
      <c r="M220" s="33" t="s">
        <v>416</v>
      </c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1"/>
      <c r="C221" s="31"/>
      <c r="D221" s="30"/>
      <c r="E221" s="30" t="s">
        <v>442</v>
      </c>
      <c r="F221" s="30">
        <v>0.001</v>
      </c>
      <c r="G221" s="30" t="s">
        <v>17</v>
      </c>
      <c r="H221" s="30" t="s">
        <v>18</v>
      </c>
      <c r="I221" s="32" t="str">
        <f t="shared" si="1"/>
        <v>6698</v>
      </c>
      <c r="J221" s="32">
        <v>1.0</v>
      </c>
      <c r="K221" s="32">
        <v>4.0</v>
      </c>
      <c r="L221" s="32">
        <v>4.0</v>
      </c>
      <c r="M221" s="33" t="s">
        <v>416</v>
      </c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1"/>
      <c r="C222" s="31"/>
      <c r="D222" s="30"/>
      <c r="E222" s="30" t="s">
        <v>443</v>
      </c>
      <c r="F222" s="30">
        <v>0.001</v>
      </c>
      <c r="G222" s="30" t="s">
        <v>17</v>
      </c>
      <c r="H222" s="30" t="s">
        <v>18</v>
      </c>
      <c r="I222" s="32" t="str">
        <f t="shared" si="1"/>
        <v>669C</v>
      </c>
      <c r="J222" s="32">
        <v>1.0</v>
      </c>
      <c r="K222" s="32">
        <v>4.0</v>
      </c>
      <c r="L222" s="32">
        <v>4.0</v>
      </c>
      <c r="M222" s="33" t="s">
        <v>416</v>
      </c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1"/>
      <c r="C223" s="31"/>
      <c r="D223" s="30"/>
      <c r="E223" s="30" t="s">
        <v>444</v>
      </c>
      <c r="F223" s="30">
        <v>0.001</v>
      </c>
      <c r="G223" s="30" t="s">
        <v>17</v>
      </c>
      <c r="H223" s="30" t="s">
        <v>18</v>
      </c>
      <c r="I223" s="32" t="str">
        <f t="shared" si="1"/>
        <v>66A0</v>
      </c>
      <c r="J223" s="32">
        <v>1.0</v>
      </c>
      <c r="K223" s="32">
        <v>4.0</v>
      </c>
      <c r="L223" s="32">
        <v>4.0</v>
      </c>
      <c r="M223" s="33" t="s">
        <v>416</v>
      </c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1"/>
      <c r="C224" s="31"/>
      <c r="D224" s="30"/>
      <c r="E224" s="30" t="s">
        <v>445</v>
      </c>
      <c r="F224" s="30">
        <v>0.001</v>
      </c>
      <c r="G224" s="30" t="s">
        <v>17</v>
      </c>
      <c r="H224" s="30" t="s">
        <v>18</v>
      </c>
      <c r="I224" s="32" t="str">
        <f t="shared" si="1"/>
        <v>66A4</v>
      </c>
      <c r="J224" s="32">
        <v>1.0</v>
      </c>
      <c r="K224" s="32">
        <v>4.0</v>
      </c>
      <c r="L224" s="32">
        <v>4.0</v>
      </c>
      <c r="M224" s="33" t="s">
        <v>416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1"/>
      <c r="C225" s="31"/>
      <c r="D225" s="30"/>
      <c r="E225" s="30" t="s">
        <v>446</v>
      </c>
      <c r="F225" s="30">
        <v>0.001</v>
      </c>
      <c r="G225" s="30" t="s">
        <v>17</v>
      </c>
      <c r="H225" s="30" t="s">
        <v>18</v>
      </c>
      <c r="I225" s="32" t="str">
        <f t="shared" si="1"/>
        <v>66A8</v>
      </c>
      <c r="J225" s="32">
        <v>1.0</v>
      </c>
      <c r="K225" s="32">
        <v>4.0</v>
      </c>
      <c r="L225" s="32">
        <v>4.0</v>
      </c>
      <c r="M225" s="33" t="s">
        <v>416</v>
      </c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1"/>
      <c r="C226" s="31"/>
      <c r="D226" s="30"/>
      <c r="E226" s="30" t="s">
        <v>447</v>
      </c>
      <c r="F226" s="30">
        <v>0.001</v>
      </c>
      <c r="G226" s="30" t="s">
        <v>17</v>
      </c>
      <c r="H226" s="30" t="s">
        <v>18</v>
      </c>
      <c r="I226" s="32" t="str">
        <f t="shared" si="1"/>
        <v>66AC</v>
      </c>
      <c r="J226" s="32">
        <v>1.0</v>
      </c>
      <c r="K226" s="32">
        <v>4.0</v>
      </c>
      <c r="L226" s="32">
        <v>4.0</v>
      </c>
      <c r="M226" s="33" t="s">
        <v>416</v>
      </c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1"/>
      <c r="C227" s="31"/>
      <c r="D227" s="30"/>
      <c r="E227" s="30" t="s">
        <v>448</v>
      </c>
      <c r="F227" s="30">
        <v>0.001</v>
      </c>
      <c r="G227" s="30" t="s">
        <v>17</v>
      </c>
      <c r="H227" s="30" t="s">
        <v>18</v>
      </c>
      <c r="I227" s="32" t="str">
        <f t="shared" si="1"/>
        <v>66B0</v>
      </c>
      <c r="J227" s="32">
        <v>1.0</v>
      </c>
      <c r="K227" s="32">
        <v>4.0</v>
      </c>
      <c r="L227" s="32">
        <v>4.0</v>
      </c>
      <c r="M227" s="33" t="s">
        <v>416</v>
      </c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 t="s">
        <v>449</v>
      </c>
      <c r="B228" s="31"/>
      <c r="C228" s="31"/>
      <c r="D228" s="30"/>
      <c r="E228" s="30" t="s">
        <v>413</v>
      </c>
      <c r="F228" s="30"/>
      <c r="G228" s="30" t="s">
        <v>17</v>
      </c>
      <c r="H228" s="30" t="s">
        <v>414</v>
      </c>
      <c r="I228" s="32">
        <v>6710.0</v>
      </c>
      <c r="J228" s="32">
        <v>1.0</v>
      </c>
      <c r="K228" s="32">
        <v>1.0</v>
      </c>
      <c r="L228" s="32">
        <v>1.0</v>
      </c>
      <c r="M228" s="33" t="s">
        <v>416</v>
      </c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1"/>
      <c r="C229" s="31"/>
      <c r="D229" s="30"/>
      <c r="E229" s="30" t="s">
        <v>417</v>
      </c>
      <c r="F229" s="30"/>
      <c r="G229" s="30" t="s">
        <v>17</v>
      </c>
      <c r="H229" s="30" t="s">
        <v>408</v>
      </c>
      <c r="I229" s="32">
        <v>6711.0</v>
      </c>
      <c r="J229" s="32">
        <v>1.0</v>
      </c>
      <c r="K229" s="32">
        <v>1.0</v>
      </c>
      <c r="L229" s="32">
        <v>1.0</v>
      </c>
      <c r="M229" s="33" t="s">
        <v>416</v>
      </c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1"/>
      <c r="C230" s="31"/>
      <c r="D230" s="30"/>
      <c r="E230" s="30" t="s">
        <v>418</v>
      </c>
      <c r="F230" s="30"/>
      <c r="G230" s="30" t="s">
        <v>17</v>
      </c>
      <c r="H230" s="30" t="s">
        <v>408</v>
      </c>
      <c r="I230" s="32">
        <v>6717.0</v>
      </c>
      <c r="J230" s="32">
        <v>1.0</v>
      </c>
      <c r="K230" s="32">
        <v>1.0</v>
      </c>
      <c r="L230" s="32">
        <v>1.0</v>
      </c>
      <c r="M230" s="33" t="s">
        <v>416</v>
      </c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1"/>
      <c r="C231" s="31"/>
      <c r="D231" s="30"/>
      <c r="E231" s="30" t="s">
        <v>419</v>
      </c>
      <c r="F231" s="30"/>
      <c r="G231" s="30"/>
      <c r="H231" s="30" t="s">
        <v>18</v>
      </c>
      <c r="I231" s="32">
        <v>6720.0</v>
      </c>
      <c r="J231" s="32">
        <v>1.0</v>
      </c>
      <c r="K231" s="32">
        <v>105.0</v>
      </c>
      <c r="L231" s="32">
        <v>105.0</v>
      </c>
      <c r="M231" s="33" t="s">
        <v>416</v>
      </c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 t="s">
        <v>450</v>
      </c>
      <c r="B232" s="31"/>
      <c r="C232" s="31"/>
      <c r="D232" s="30"/>
      <c r="E232" s="30" t="s">
        <v>413</v>
      </c>
      <c r="F232" s="30"/>
      <c r="G232" s="30" t="s">
        <v>17</v>
      </c>
      <c r="H232" s="30" t="s">
        <v>414</v>
      </c>
      <c r="I232" s="32" t="s">
        <v>451</v>
      </c>
      <c r="J232" s="32">
        <v>1.0</v>
      </c>
      <c r="K232" s="32">
        <v>1.0</v>
      </c>
      <c r="L232" s="32">
        <v>1.0</v>
      </c>
      <c r="M232" s="33" t="s">
        <v>416</v>
      </c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1"/>
      <c r="C233" s="31"/>
      <c r="D233" s="30"/>
      <c r="E233" s="30" t="s">
        <v>417</v>
      </c>
      <c r="F233" s="30"/>
      <c r="G233" s="30" t="s">
        <v>17</v>
      </c>
      <c r="H233" s="30" t="s">
        <v>408</v>
      </c>
      <c r="I233" s="32" t="s">
        <v>452</v>
      </c>
      <c r="J233" s="32">
        <v>1.0</v>
      </c>
      <c r="K233" s="32">
        <v>1.0</v>
      </c>
      <c r="L233" s="32">
        <v>1.0</v>
      </c>
      <c r="M233" s="33" t="s">
        <v>416</v>
      </c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1"/>
      <c r="C234" s="31"/>
      <c r="D234" s="30"/>
      <c r="E234" s="30" t="s">
        <v>418</v>
      </c>
      <c r="F234" s="30"/>
      <c r="G234" s="30" t="s">
        <v>17</v>
      </c>
      <c r="H234" s="30" t="s">
        <v>408</v>
      </c>
      <c r="I234" s="32" t="s">
        <v>453</v>
      </c>
      <c r="J234" s="32">
        <v>1.0</v>
      </c>
      <c r="K234" s="32">
        <v>1.0</v>
      </c>
      <c r="L234" s="32">
        <v>1.0</v>
      </c>
      <c r="M234" s="33" t="s">
        <v>416</v>
      </c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1"/>
      <c r="C235" s="31"/>
      <c r="D235" s="30"/>
      <c r="E235" s="30" t="s">
        <v>419</v>
      </c>
      <c r="F235" s="30"/>
      <c r="G235" s="30"/>
      <c r="H235" s="30" t="s">
        <v>18</v>
      </c>
      <c r="I235" s="32" t="s">
        <v>454</v>
      </c>
      <c r="J235" s="32">
        <v>1.0</v>
      </c>
      <c r="K235" s="32">
        <v>105.0</v>
      </c>
      <c r="L235" s="32">
        <v>105.0</v>
      </c>
      <c r="M235" s="33" t="s">
        <v>416</v>
      </c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 t="s">
        <v>455</v>
      </c>
      <c r="B236" s="31"/>
      <c r="C236" s="31"/>
      <c r="D236" s="30"/>
      <c r="E236" s="30" t="s">
        <v>413</v>
      </c>
      <c r="F236" s="30"/>
      <c r="G236" s="30"/>
      <c r="H236" s="30" t="s">
        <v>408</v>
      </c>
      <c r="I236" s="32" t="s">
        <v>456</v>
      </c>
      <c r="J236" s="32"/>
      <c r="K236" s="32">
        <v>1.0</v>
      </c>
      <c r="L236" s="32">
        <v>1.0</v>
      </c>
      <c r="M236" s="33" t="s">
        <v>457</v>
      </c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1"/>
      <c r="C237" s="31"/>
      <c r="D237" s="30"/>
      <c r="E237" s="30" t="s">
        <v>417</v>
      </c>
      <c r="F237" s="30"/>
      <c r="G237" s="30"/>
      <c r="H237" s="30" t="s">
        <v>408</v>
      </c>
      <c r="I237" s="32">
        <v>8001.0</v>
      </c>
      <c r="J237" s="32"/>
      <c r="K237" s="32">
        <v>1.0</v>
      </c>
      <c r="L237" s="32">
        <v>1.0</v>
      </c>
      <c r="M237" s="33" t="s">
        <v>457</v>
      </c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1"/>
      <c r="C238" s="31"/>
      <c r="D238" s="30"/>
      <c r="E238" s="30" t="s">
        <v>458</v>
      </c>
      <c r="F238" s="30"/>
      <c r="G238" s="30"/>
      <c r="H238" s="30" t="s">
        <v>408</v>
      </c>
      <c r="I238" s="32">
        <v>8004.0</v>
      </c>
      <c r="J238" s="32"/>
      <c r="K238" s="32">
        <v>3.0</v>
      </c>
      <c r="L238" s="32">
        <v>3.0</v>
      </c>
      <c r="M238" s="33" t="s">
        <v>457</v>
      </c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1"/>
      <c r="C239" s="31"/>
      <c r="D239" s="30"/>
      <c r="E239" s="30" t="s">
        <v>418</v>
      </c>
      <c r="F239" s="30"/>
      <c r="G239" s="30"/>
      <c r="H239" s="30" t="s">
        <v>408</v>
      </c>
      <c r="I239" s="32">
        <v>8007.0</v>
      </c>
      <c r="J239" s="32"/>
      <c r="K239" s="32">
        <v>1.0</v>
      </c>
      <c r="L239" s="32">
        <v>1.0</v>
      </c>
      <c r="M239" s="33" t="s">
        <v>457</v>
      </c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1"/>
      <c r="C240" s="31"/>
      <c r="D240" s="30"/>
      <c r="E240" s="30" t="s">
        <v>459</v>
      </c>
      <c r="F240" s="30"/>
      <c r="G240" s="30"/>
      <c r="H240" s="30" t="s">
        <v>18</v>
      </c>
      <c r="I240" s="32" t="s">
        <v>460</v>
      </c>
      <c r="J240" s="32"/>
      <c r="K240" s="32">
        <v>83.0</v>
      </c>
      <c r="L240" s="32">
        <v>83.0</v>
      </c>
      <c r="M240" s="33" t="s">
        <v>457</v>
      </c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1"/>
      <c r="C241" s="31"/>
      <c r="D241" s="30"/>
      <c r="E241" s="30" t="s">
        <v>461</v>
      </c>
      <c r="F241" s="30"/>
      <c r="G241" s="30"/>
      <c r="H241" s="30" t="s">
        <v>18</v>
      </c>
      <c r="I241" s="32" t="s">
        <v>462</v>
      </c>
      <c r="J241" s="32"/>
      <c r="K241" s="32">
        <v>83.0</v>
      </c>
      <c r="L241" s="32">
        <v>83.0</v>
      </c>
      <c r="M241" s="33" t="s">
        <v>457</v>
      </c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1"/>
      <c r="C242" s="31"/>
      <c r="D242" s="30"/>
      <c r="E242" s="30" t="s">
        <v>463</v>
      </c>
      <c r="F242" s="30"/>
      <c r="G242" s="30"/>
      <c r="H242" s="30" t="s">
        <v>18</v>
      </c>
      <c r="I242" s="32" t="s">
        <v>464</v>
      </c>
      <c r="J242" s="32"/>
      <c r="K242" s="32">
        <v>83.0</v>
      </c>
      <c r="L242" s="32">
        <v>83.0</v>
      </c>
      <c r="M242" s="33" t="s">
        <v>457</v>
      </c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1"/>
      <c r="C243" s="31"/>
      <c r="D243" s="30"/>
      <c r="E243" s="30" t="s">
        <v>465</v>
      </c>
      <c r="F243" s="30"/>
      <c r="G243" s="30"/>
      <c r="H243" s="30" t="s">
        <v>18</v>
      </c>
      <c r="I243" s="32" t="s">
        <v>466</v>
      </c>
      <c r="J243" s="32"/>
      <c r="K243" s="32">
        <v>83.0</v>
      </c>
      <c r="L243" s="32">
        <v>83.0</v>
      </c>
      <c r="M243" s="33" t="s">
        <v>457</v>
      </c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1"/>
      <c r="C244" s="31"/>
      <c r="D244" s="30"/>
      <c r="E244" s="30" t="s">
        <v>467</v>
      </c>
      <c r="F244" s="30"/>
      <c r="G244" s="30"/>
      <c r="H244" s="30" t="s">
        <v>18</v>
      </c>
      <c r="I244" s="32" t="s">
        <v>468</v>
      </c>
      <c r="J244" s="32"/>
      <c r="K244" s="32">
        <v>83.0</v>
      </c>
      <c r="L244" s="32">
        <v>83.0</v>
      </c>
      <c r="M244" s="33" t="s">
        <v>457</v>
      </c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1"/>
      <c r="C245" s="31"/>
      <c r="D245" s="30"/>
      <c r="E245" s="30" t="s">
        <v>469</v>
      </c>
      <c r="F245" s="30"/>
      <c r="G245" s="30"/>
      <c r="H245" s="30" t="s">
        <v>18</v>
      </c>
      <c r="I245" s="32" t="s">
        <v>470</v>
      </c>
      <c r="J245" s="32"/>
      <c r="K245" s="32">
        <v>83.0</v>
      </c>
      <c r="L245" s="32">
        <v>83.0</v>
      </c>
      <c r="M245" s="33" t="s">
        <v>457</v>
      </c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1"/>
      <c r="C246" s="31"/>
      <c r="D246" s="30"/>
      <c r="E246" s="30" t="s">
        <v>471</v>
      </c>
      <c r="F246" s="30"/>
      <c r="G246" s="30"/>
      <c r="H246" s="30" t="s">
        <v>18</v>
      </c>
      <c r="I246" s="32" t="s">
        <v>472</v>
      </c>
      <c r="J246" s="32"/>
      <c r="K246" s="32">
        <v>83.0</v>
      </c>
      <c r="L246" s="32">
        <v>83.0</v>
      </c>
      <c r="M246" s="33" t="s">
        <v>457</v>
      </c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 t="s">
        <v>473</v>
      </c>
      <c r="B247" s="31"/>
      <c r="C247" s="31"/>
      <c r="D247" s="30"/>
      <c r="E247" s="30" t="s">
        <v>413</v>
      </c>
      <c r="F247" s="30"/>
      <c r="G247" s="30"/>
      <c r="H247" s="30" t="s">
        <v>408</v>
      </c>
      <c r="I247" s="32" t="s">
        <v>474</v>
      </c>
      <c r="J247" s="32"/>
      <c r="K247" s="32">
        <v>1.0</v>
      </c>
      <c r="L247" s="32">
        <v>1.0</v>
      </c>
      <c r="M247" s="33" t="s">
        <v>457</v>
      </c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1"/>
      <c r="C248" s="31"/>
      <c r="D248" s="30"/>
      <c r="E248" s="30" t="s">
        <v>417</v>
      </c>
      <c r="F248" s="30"/>
      <c r="G248" s="30"/>
      <c r="H248" s="30" t="s">
        <v>408</v>
      </c>
      <c r="I248" s="32">
        <v>8301.0</v>
      </c>
      <c r="J248" s="32"/>
      <c r="K248" s="32">
        <v>1.0</v>
      </c>
      <c r="L248" s="32">
        <v>1.0</v>
      </c>
      <c r="M248" s="33" t="s">
        <v>457</v>
      </c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1"/>
      <c r="C249" s="31"/>
      <c r="D249" s="30"/>
      <c r="E249" s="30" t="s">
        <v>458</v>
      </c>
      <c r="F249" s="30"/>
      <c r="G249" s="30"/>
      <c r="H249" s="30" t="s">
        <v>408</v>
      </c>
      <c r="I249" s="32">
        <v>8304.0</v>
      </c>
      <c r="J249" s="32"/>
      <c r="K249" s="32">
        <v>3.0</v>
      </c>
      <c r="L249" s="32">
        <v>3.0</v>
      </c>
      <c r="M249" s="33" t="s">
        <v>457</v>
      </c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1"/>
      <c r="C250" s="31"/>
      <c r="D250" s="30"/>
      <c r="E250" s="30" t="s">
        <v>418</v>
      </c>
      <c r="F250" s="30"/>
      <c r="G250" s="30"/>
      <c r="H250" s="30" t="s">
        <v>408</v>
      </c>
      <c r="I250" s="32">
        <v>8307.0</v>
      </c>
      <c r="J250" s="32"/>
      <c r="K250" s="32">
        <v>1.0</v>
      </c>
      <c r="L250" s="32">
        <v>1.0</v>
      </c>
      <c r="M250" s="33" t="s">
        <v>457</v>
      </c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1"/>
      <c r="C251" s="31"/>
      <c r="D251" s="30"/>
      <c r="E251" s="30" t="s">
        <v>459</v>
      </c>
      <c r="F251" s="30"/>
      <c r="G251" s="30"/>
      <c r="H251" s="30" t="s">
        <v>18</v>
      </c>
      <c r="I251" s="32" t="s">
        <v>475</v>
      </c>
      <c r="J251" s="32"/>
      <c r="K251" s="32">
        <v>83.0</v>
      </c>
      <c r="L251" s="32">
        <v>83.0</v>
      </c>
      <c r="M251" s="33" t="s">
        <v>457</v>
      </c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1"/>
      <c r="C252" s="31"/>
      <c r="D252" s="30"/>
      <c r="E252" s="30" t="s">
        <v>461</v>
      </c>
      <c r="F252" s="30"/>
      <c r="G252" s="30"/>
      <c r="H252" s="30" t="s">
        <v>18</v>
      </c>
      <c r="I252" s="32">
        <v>8370.0</v>
      </c>
      <c r="J252" s="32"/>
      <c r="K252" s="32">
        <v>83.0</v>
      </c>
      <c r="L252" s="32">
        <v>83.0</v>
      </c>
      <c r="M252" s="33" t="s">
        <v>457</v>
      </c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1"/>
      <c r="C253" s="31"/>
      <c r="D253" s="30"/>
      <c r="E253" s="30" t="s">
        <v>463</v>
      </c>
      <c r="F253" s="30"/>
      <c r="G253" s="30"/>
      <c r="H253" s="30" t="s">
        <v>18</v>
      </c>
      <c r="I253" s="32" t="s">
        <v>476</v>
      </c>
      <c r="J253" s="32"/>
      <c r="K253" s="32">
        <v>83.0</v>
      </c>
      <c r="L253" s="32">
        <v>83.0</v>
      </c>
      <c r="M253" s="33" t="s">
        <v>457</v>
      </c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1"/>
      <c r="C254" s="31"/>
      <c r="D254" s="30"/>
      <c r="E254" s="30" t="s">
        <v>465</v>
      </c>
      <c r="F254" s="30"/>
      <c r="G254" s="30"/>
      <c r="H254" s="30" t="s">
        <v>18</v>
      </c>
      <c r="I254" s="32">
        <v>8430.0</v>
      </c>
      <c r="J254" s="32"/>
      <c r="K254" s="32">
        <v>83.0</v>
      </c>
      <c r="L254" s="32">
        <v>83.0</v>
      </c>
      <c r="M254" s="33" t="s">
        <v>457</v>
      </c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1"/>
      <c r="C255" s="31"/>
      <c r="D255" s="30"/>
      <c r="E255" s="30" t="s">
        <v>467</v>
      </c>
      <c r="F255" s="30"/>
      <c r="G255" s="30"/>
      <c r="H255" s="30" t="s">
        <v>18</v>
      </c>
      <c r="I255" s="32">
        <v>8490.0</v>
      </c>
      <c r="J255" s="32"/>
      <c r="K255" s="32">
        <v>83.0</v>
      </c>
      <c r="L255" s="32">
        <v>83.0</v>
      </c>
      <c r="M255" s="33" t="s">
        <v>457</v>
      </c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1"/>
      <c r="C256" s="31"/>
      <c r="D256" s="30"/>
      <c r="E256" s="30" t="s">
        <v>469</v>
      </c>
      <c r="F256" s="30"/>
      <c r="G256" s="30"/>
      <c r="H256" s="30" t="s">
        <v>18</v>
      </c>
      <c r="I256" s="32" t="s">
        <v>477</v>
      </c>
      <c r="J256" s="32"/>
      <c r="K256" s="32">
        <v>83.0</v>
      </c>
      <c r="L256" s="32">
        <v>83.0</v>
      </c>
      <c r="M256" s="33" t="s">
        <v>457</v>
      </c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1"/>
      <c r="C257" s="31"/>
      <c r="D257" s="30"/>
      <c r="E257" s="30" t="s">
        <v>471</v>
      </c>
      <c r="F257" s="30"/>
      <c r="G257" s="30"/>
      <c r="H257" s="30" t="s">
        <v>18</v>
      </c>
      <c r="I257" s="32">
        <v>8550.0</v>
      </c>
      <c r="J257" s="32"/>
      <c r="K257" s="32">
        <v>83.0</v>
      </c>
      <c r="L257" s="32">
        <v>83.0</v>
      </c>
      <c r="M257" s="33" t="s">
        <v>457</v>
      </c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 t="s">
        <v>478</v>
      </c>
      <c r="B258" s="31"/>
      <c r="C258" s="31"/>
      <c r="D258" s="30"/>
      <c r="E258" s="30" t="s">
        <v>479</v>
      </c>
      <c r="F258" s="30"/>
      <c r="G258" s="30"/>
      <c r="H258" s="30" t="s">
        <v>408</v>
      </c>
      <c r="I258" s="32" t="s">
        <v>480</v>
      </c>
      <c r="J258" s="32"/>
      <c r="K258" s="32">
        <v>1.0</v>
      </c>
      <c r="L258" s="32">
        <v>1.0</v>
      </c>
      <c r="M258" s="33" t="s">
        <v>457</v>
      </c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1"/>
      <c r="C259" s="31"/>
      <c r="D259" s="30"/>
      <c r="E259" s="30" t="s">
        <v>481</v>
      </c>
      <c r="F259" s="30"/>
      <c r="G259" s="30"/>
      <c r="H259" s="30" t="s">
        <v>408</v>
      </c>
      <c r="I259" s="32">
        <v>8703.0</v>
      </c>
      <c r="J259" s="32"/>
      <c r="K259" s="32">
        <v>1.0</v>
      </c>
      <c r="L259" s="32">
        <v>1.0</v>
      </c>
      <c r="M259" s="33" t="s">
        <v>457</v>
      </c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1"/>
      <c r="C260" s="31"/>
      <c r="D260" s="30"/>
      <c r="E260" s="30" t="s">
        <v>482</v>
      </c>
      <c r="F260" s="30"/>
      <c r="G260" s="30"/>
      <c r="H260" s="30" t="s">
        <v>408</v>
      </c>
      <c r="I260" s="32">
        <v>8704.0</v>
      </c>
      <c r="J260" s="32"/>
      <c r="K260" s="32">
        <v>3.0</v>
      </c>
      <c r="L260" s="32">
        <v>3.0</v>
      </c>
      <c r="M260" s="33" t="s">
        <v>457</v>
      </c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1"/>
      <c r="C261" s="31"/>
      <c r="D261" s="30"/>
      <c r="E261" s="30" t="s">
        <v>418</v>
      </c>
      <c r="F261" s="30"/>
      <c r="G261" s="30"/>
      <c r="H261" s="30" t="s">
        <v>408</v>
      </c>
      <c r="I261" s="32">
        <v>8707.0</v>
      </c>
      <c r="J261" s="32"/>
      <c r="K261" s="32">
        <v>1.0</v>
      </c>
      <c r="L261" s="32">
        <v>1.0</v>
      </c>
      <c r="M261" s="33" t="s">
        <v>457</v>
      </c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1"/>
      <c r="C262" s="31"/>
      <c r="D262" s="30"/>
      <c r="E262" s="30" t="s">
        <v>483</v>
      </c>
      <c r="F262" s="30"/>
      <c r="G262" s="30"/>
      <c r="H262" s="30" t="s">
        <v>408</v>
      </c>
      <c r="I262" s="32">
        <v>8710.0</v>
      </c>
      <c r="J262" s="32"/>
      <c r="K262" s="32">
        <v>3.0</v>
      </c>
      <c r="L262" s="32">
        <v>3.0</v>
      </c>
      <c r="M262" s="33" t="s">
        <v>457</v>
      </c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1"/>
      <c r="C263" s="31"/>
      <c r="D263" s="30"/>
      <c r="E263" s="30" t="s">
        <v>484</v>
      </c>
      <c r="F263" s="30"/>
      <c r="G263" s="30"/>
      <c r="H263" s="30" t="s">
        <v>408</v>
      </c>
      <c r="I263" s="32">
        <v>8713.0</v>
      </c>
      <c r="J263" s="32"/>
      <c r="K263" s="32">
        <v>1.0</v>
      </c>
      <c r="L263" s="32">
        <v>1.0</v>
      </c>
      <c r="M263" s="33" t="s">
        <v>457</v>
      </c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1"/>
      <c r="C264" s="31"/>
      <c r="D264" s="30"/>
      <c r="E264" s="30" t="s">
        <v>485</v>
      </c>
      <c r="F264" s="30"/>
      <c r="G264" s="30"/>
      <c r="H264" s="30" t="s">
        <v>408</v>
      </c>
      <c r="I264" s="32">
        <v>8714.0</v>
      </c>
      <c r="J264" s="32"/>
      <c r="K264" s="32">
        <v>2.0</v>
      </c>
      <c r="L264" s="32">
        <v>2.0</v>
      </c>
      <c r="M264" s="33" t="s">
        <v>457</v>
      </c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1"/>
      <c r="C265" s="31"/>
      <c r="D265" s="30"/>
      <c r="E265" s="30" t="s">
        <v>486</v>
      </c>
      <c r="F265" s="30"/>
      <c r="G265" s="30"/>
      <c r="H265" s="30" t="s">
        <v>408</v>
      </c>
      <c r="I265" s="32">
        <v>8716.0</v>
      </c>
      <c r="J265" s="32"/>
      <c r="K265" s="32">
        <v>1.0</v>
      </c>
      <c r="L265" s="32">
        <v>1.0</v>
      </c>
      <c r="M265" s="33" t="s">
        <v>457</v>
      </c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1"/>
      <c r="C266" s="31"/>
      <c r="D266" s="30"/>
      <c r="E266" s="30" t="s">
        <v>419</v>
      </c>
      <c r="F266" s="30"/>
      <c r="G266" s="30"/>
      <c r="H266" s="30" t="s">
        <v>18</v>
      </c>
      <c r="I266" s="32">
        <v>8720.0</v>
      </c>
      <c r="J266" s="32"/>
      <c r="K266" s="32">
        <v>120.0</v>
      </c>
      <c r="L266" s="32">
        <v>120.0</v>
      </c>
      <c r="M266" s="33" t="s">
        <v>457</v>
      </c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 t="s">
        <v>487</v>
      </c>
      <c r="B267" s="31"/>
      <c r="C267" s="31"/>
      <c r="D267" s="30"/>
      <c r="E267" s="30"/>
      <c r="F267" s="30"/>
      <c r="G267" s="30" t="s">
        <v>430</v>
      </c>
      <c r="H267" s="30" t="s">
        <v>18</v>
      </c>
      <c r="I267" s="32" t="s">
        <v>488</v>
      </c>
      <c r="J267" s="32">
        <v>1.0</v>
      </c>
      <c r="K267" s="32">
        <v>5.0</v>
      </c>
      <c r="L267" s="32">
        <v>5.0</v>
      </c>
      <c r="M267" s="33" t="s">
        <v>489</v>
      </c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 t="s">
        <v>490</v>
      </c>
      <c r="B268" s="31"/>
      <c r="C268" s="31"/>
      <c r="D268" s="30"/>
      <c r="E268" s="30"/>
      <c r="F268" s="30"/>
      <c r="G268" s="30" t="s">
        <v>430</v>
      </c>
      <c r="H268" s="30" t="s">
        <v>18</v>
      </c>
      <c r="I268" s="32" t="s">
        <v>491</v>
      </c>
      <c r="J268" s="32">
        <v>1.0</v>
      </c>
      <c r="K268" s="32">
        <v>8.0</v>
      </c>
      <c r="L268" s="32">
        <v>8.0</v>
      </c>
      <c r="M268" s="33" t="s">
        <v>489</v>
      </c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 t="s">
        <v>492</v>
      </c>
      <c r="B269" s="31"/>
      <c r="C269" s="31"/>
      <c r="D269" s="30"/>
      <c r="E269" s="30" t="s">
        <v>493</v>
      </c>
      <c r="F269" s="30"/>
      <c r="G269" s="30"/>
      <c r="H269" s="30" t="s">
        <v>18</v>
      </c>
      <c r="I269" s="32">
        <v>8910.0</v>
      </c>
      <c r="J269" s="32">
        <v>1.0</v>
      </c>
      <c r="K269" s="32">
        <v>1.0</v>
      </c>
      <c r="L269" s="32">
        <v>1.0</v>
      </c>
      <c r="M269" s="33" t="s">
        <v>489</v>
      </c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 t="s">
        <v>494</v>
      </c>
      <c r="B270" s="31"/>
      <c r="C270" s="31"/>
      <c r="D270" s="30"/>
      <c r="E270" s="30"/>
      <c r="F270" s="30"/>
      <c r="G270" s="30"/>
      <c r="H270" s="30" t="s">
        <v>18</v>
      </c>
      <c r="I270" s="32" t="s">
        <v>495</v>
      </c>
      <c r="J270" s="32">
        <v>1.0</v>
      </c>
      <c r="K270" s="32">
        <v>8.0</v>
      </c>
      <c r="L270" s="32">
        <v>8.0</v>
      </c>
      <c r="M270" s="33" t="s">
        <v>489</v>
      </c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 t="s">
        <v>496</v>
      </c>
      <c r="B271" s="31"/>
      <c r="C271" s="31"/>
      <c r="D271" s="30"/>
      <c r="E271" s="30"/>
      <c r="F271" s="30"/>
      <c r="G271" s="30" t="s">
        <v>430</v>
      </c>
      <c r="H271" s="30" t="s">
        <v>408</v>
      </c>
      <c r="I271" s="32" t="s">
        <v>497</v>
      </c>
      <c r="J271" s="32">
        <v>1.0</v>
      </c>
      <c r="K271" s="32">
        <v>5.0</v>
      </c>
      <c r="L271" s="32">
        <v>5.0</v>
      </c>
      <c r="M271" s="33" t="s">
        <v>489</v>
      </c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 t="s">
        <v>498</v>
      </c>
      <c r="B272" s="31"/>
      <c r="C272" s="31"/>
      <c r="D272" s="30"/>
      <c r="E272" s="30" t="s">
        <v>499</v>
      </c>
      <c r="F272" s="30"/>
      <c r="G272" s="30" t="s">
        <v>430</v>
      </c>
      <c r="H272" s="30" t="s">
        <v>18</v>
      </c>
      <c r="I272" s="32" t="s">
        <v>500</v>
      </c>
      <c r="J272" s="32">
        <v>1.0</v>
      </c>
      <c r="K272" s="32">
        <v>6.0</v>
      </c>
      <c r="L272" s="32">
        <v>6.0</v>
      </c>
      <c r="M272" s="33" t="s">
        <v>489</v>
      </c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 t="s">
        <v>501</v>
      </c>
      <c r="B273" s="31"/>
      <c r="C273" s="31"/>
      <c r="D273" s="30"/>
      <c r="E273" s="30" t="s">
        <v>502</v>
      </c>
      <c r="F273" s="30"/>
      <c r="G273" s="30" t="s">
        <v>430</v>
      </c>
      <c r="H273" s="30" t="s">
        <v>18</v>
      </c>
      <c r="I273" s="32">
        <v>8966.0</v>
      </c>
      <c r="J273" s="32">
        <v>1.0</v>
      </c>
      <c r="K273" s="32">
        <v>8.0</v>
      </c>
      <c r="L273" s="32">
        <v>8.0</v>
      </c>
      <c r="M273" s="33" t="s">
        <v>489</v>
      </c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 t="s">
        <v>503</v>
      </c>
      <c r="B274" s="31"/>
      <c r="C274" s="31"/>
      <c r="D274" s="30"/>
      <c r="E274" s="30" t="s">
        <v>504</v>
      </c>
      <c r="F274" s="30"/>
      <c r="G274" s="30"/>
      <c r="H274" s="30" t="s">
        <v>408</v>
      </c>
      <c r="I274" s="32" t="s">
        <v>505</v>
      </c>
      <c r="J274" s="32">
        <v>1.0</v>
      </c>
      <c r="K274" s="32">
        <v>3.0</v>
      </c>
      <c r="L274" s="32">
        <v>3.0</v>
      </c>
      <c r="M274" s="33" t="s">
        <v>506</v>
      </c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 t="s">
        <v>507</v>
      </c>
      <c r="B275" s="31"/>
      <c r="C275" s="31"/>
      <c r="D275" s="30"/>
      <c r="E275" s="30" t="s">
        <v>508</v>
      </c>
      <c r="F275" s="30"/>
      <c r="G275" s="30"/>
      <c r="H275" s="30" t="s">
        <v>509</v>
      </c>
      <c r="I275" s="32" t="s">
        <v>510</v>
      </c>
      <c r="J275" s="32">
        <v>1.0</v>
      </c>
      <c r="K275" s="32">
        <v>4.0</v>
      </c>
      <c r="L275" s="32">
        <v>4.0</v>
      </c>
      <c r="M275" s="33" t="s">
        <v>416</v>
      </c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 t="s">
        <v>511</v>
      </c>
      <c r="B276" s="31"/>
      <c r="C276" s="31"/>
      <c r="D276" s="30" t="s">
        <v>512</v>
      </c>
      <c r="E276" s="30" t="s">
        <v>508</v>
      </c>
      <c r="F276" s="30"/>
      <c r="G276" s="30"/>
      <c r="H276" s="30" t="s">
        <v>509</v>
      </c>
      <c r="I276" s="32" t="s">
        <v>513</v>
      </c>
      <c r="J276" s="32">
        <v>1.0</v>
      </c>
      <c r="K276" s="32">
        <v>4.0</v>
      </c>
      <c r="L276" s="32">
        <v>4.0</v>
      </c>
      <c r="M276" s="33" t="s">
        <v>416</v>
      </c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 t="s">
        <v>514</v>
      </c>
      <c r="B277" s="31"/>
      <c r="C277" s="31"/>
      <c r="D277" s="30"/>
      <c r="E277" s="30" t="s">
        <v>515</v>
      </c>
      <c r="F277" s="30"/>
      <c r="G277" s="30"/>
      <c r="H277" s="30" t="s">
        <v>509</v>
      </c>
      <c r="I277" s="32" t="s">
        <v>516</v>
      </c>
      <c r="J277" s="32">
        <v>1.0</v>
      </c>
      <c r="K277" s="32">
        <v>4.0</v>
      </c>
      <c r="L277" s="32">
        <v>4.0</v>
      </c>
      <c r="M277" s="33" t="s">
        <v>416</v>
      </c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 t="s">
        <v>517</v>
      </c>
      <c r="B278" s="31"/>
      <c r="C278" s="31"/>
      <c r="D278" s="30"/>
      <c r="E278" s="30" t="s">
        <v>518</v>
      </c>
      <c r="F278" s="30"/>
      <c r="G278" s="30"/>
      <c r="H278" s="30" t="s">
        <v>509</v>
      </c>
      <c r="I278" s="32" t="s">
        <v>519</v>
      </c>
      <c r="J278" s="32">
        <v>1.0</v>
      </c>
      <c r="K278" s="32">
        <v>4.0</v>
      </c>
      <c r="L278" s="32">
        <v>4.0</v>
      </c>
      <c r="M278" s="33" t="s">
        <v>520</v>
      </c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 t="s">
        <v>521</v>
      </c>
      <c r="B279" s="31"/>
      <c r="C279" s="31"/>
      <c r="D279" s="30"/>
      <c r="E279" s="30" t="s">
        <v>522</v>
      </c>
      <c r="F279" s="30"/>
      <c r="G279" s="30" t="s">
        <v>17</v>
      </c>
      <c r="H279" s="30" t="s">
        <v>408</v>
      </c>
      <c r="I279" s="32" t="s">
        <v>523</v>
      </c>
      <c r="J279" s="32">
        <v>1.0</v>
      </c>
      <c r="K279" s="32">
        <v>2.0</v>
      </c>
      <c r="L279" s="32">
        <v>2.0</v>
      </c>
      <c r="M279" s="33" t="s">
        <v>524</v>
      </c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/>
      <c r="B280" s="31"/>
      <c r="C280" s="31"/>
      <c r="D280" s="30"/>
      <c r="E280" s="30" t="s">
        <v>525</v>
      </c>
      <c r="F280" s="30"/>
      <c r="G280" s="30" t="s">
        <v>17</v>
      </c>
      <c r="H280" s="30" t="s">
        <v>408</v>
      </c>
      <c r="I280" s="32" t="s">
        <v>526</v>
      </c>
      <c r="J280" s="32">
        <v>1.0</v>
      </c>
      <c r="K280" s="32">
        <v>2.0</v>
      </c>
      <c r="L280" s="32">
        <v>2.0</v>
      </c>
      <c r="M280" s="33" t="s">
        <v>524</v>
      </c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/>
      <c r="B281" s="31"/>
      <c r="C281" s="31"/>
      <c r="D281" s="30"/>
      <c r="E281" s="30" t="s">
        <v>527</v>
      </c>
      <c r="F281" s="30"/>
      <c r="G281" s="30" t="s">
        <v>17</v>
      </c>
      <c r="H281" s="30" t="s">
        <v>408</v>
      </c>
      <c r="I281" s="32" t="s">
        <v>528</v>
      </c>
      <c r="J281" s="32">
        <v>1.0</v>
      </c>
      <c r="K281" s="32">
        <v>2.0</v>
      </c>
      <c r="L281" s="32">
        <v>2.0</v>
      </c>
      <c r="M281" s="33" t="s">
        <v>524</v>
      </c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/>
      <c r="B282" s="31"/>
      <c r="C282" s="31"/>
      <c r="D282" s="30"/>
      <c r="E282" s="30" t="s">
        <v>529</v>
      </c>
      <c r="F282" s="30"/>
      <c r="G282" s="30" t="s">
        <v>17</v>
      </c>
      <c r="H282" s="30" t="s">
        <v>408</v>
      </c>
      <c r="I282" s="32" t="s">
        <v>530</v>
      </c>
      <c r="J282" s="32">
        <v>1.0</v>
      </c>
      <c r="K282" s="32">
        <v>2.0</v>
      </c>
      <c r="L282" s="32">
        <v>2.0</v>
      </c>
      <c r="M282" s="33" t="s">
        <v>524</v>
      </c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/>
      <c r="B283" s="31"/>
      <c r="C283" s="31"/>
      <c r="D283" s="30"/>
      <c r="E283" s="30" t="s">
        <v>531</v>
      </c>
      <c r="F283" s="30"/>
      <c r="G283" s="30" t="s">
        <v>17</v>
      </c>
      <c r="H283" s="30" t="s">
        <v>408</v>
      </c>
      <c r="I283" s="32" t="s">
        <v>532</v>
      </c>
      <c r="J283" s="32">
        <v>1.0</v>
      </c>
      <c r="K283" s="32">
        <v>2.0</v>
      </c>
      <c r="L283" s="32">
        <v>2.0</v>
      </c>
      <c r="M283" s="33" t="s">
        <v>524</v>
      </c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/>
      <c r="B284" s="31"/>
      <c r="C284" s="31"/>
      <c r="D284" s="30"/>
      <c r="E284" s="30" t="s">
        <v>533</v>
      </c>
      <c r="F284" s="30"/>
      <c r="G284" s="30" t="s">
        <v>17</v>
      </c>
      <c r="H284" s="30" t="s">
        <v>408</v>
      </c>
      <c r="I284" s="32" t="s">
        <v>534</v>
      </c>
      <c r="J284" s="32">
        <v>1.0</v>
      </c>
      <c r="K284" s="32">
        <v>2.0</v>
      </c>
      <c r="L284" s="32">
        <v>2.0</v>
      </c>
      <c r="M284" s="33" t="s">
        <v>524</v>
      </c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 t="s">
        <v>535</v>
      </c>
      <c r="B285" s="31"/>
      <c r="C285" s="31"/>
      <c r="D285" s="30"/>
      <c r="E285" s="30" t="s">
        <v>536</v>
      </c>
      <c r="F285" s="30"/>
      <c r="G285" s="30"/>
      <c r="H285" s="30" t="s">
        <v>408</v>
      </c>
      <c r="I285" s="32" t="s">
        <v>537</v>
      </c>
      <c r="J285" s="32">
        <v>1.0</v>
      </c>
      <c r="K285" s="32">
        <v>1.0</v>
      </c>
      <c r="L285" s="32">
        <v>1.0</v>
      </c>
      <c r="M285" s="33" t="s">
        <v>538</v>
      </c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/>
      <c r="B286" s="31"/>
      <c r="C286" s="31"/>
      <c r="D286" s="30"/>
      <c r="E286" s="30" t="s">
        <v>539</v>
      </c>
      <c r="F286" s="30"/>
      <c r="G286" s="30"/>
      <c r="H286" s="30" t="s">
        <v>408</v>
      </c>
      <c r="I286" s="32" t="s">
        <v>540</v>
      </c>
      <c r="J286" s="32">
        <v>1.0</v>
      </c>
      <c r="K286" s="32">
        <v>1.0</v>
      </c>
      <c r="L286" s="32">
        <v>1.0</v>
      </c>
      <c r="M286" s="33" t="s">
        <v>538</v>
      </c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 t="s">
        <v>541</v>
      </c>
      <c r="B287" s="31"/>
      <c r="C287" s="31"/>
      <c r="D287" s="30"/>
      <c r="E287" s="30" t="s">
        <v>542</v>
      </c>
      <c r="F287" s="30"/>
      <c r="G287" s="30"/>
      <c r="H287" s="30" t="s">
        <v>408</v>
      </c>
      <c r="I287" s="32" t="s">
        <v>543</v>
      </c>
      <c r="J287" s="32">
        <v>1.0</v>
      </c>
      <c r="K287" s="32">
        <v>1.0</v>
      </c>
      <c r="L287" s="32">
        <v>1.0</v>
      </c>
      <c r="M287" s="33" t="s">
        <v>538</v>
      </c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 t="s">
        <v>544</v>
      </c>
      <c r="B288" s="31"/>
      <c r="C288" s="31"/>
      <c r="D288" s="30"/>
      <c r="E288" s="30" t="s">
        <v>545</v>
      </c>
      <c r="F288" s="30"/>
      <c r="G288" s="30"/>
      <c r="H288" s="30" t="s">
        <v>408</v>
      </c>
      <c r="I288" s="32" t="s">
        <v>546</v>
      </c>
      <c r="J288" s="32">
        <v>1.0</v>
      </c>
      <c r="K288" s="32">
        <v>1.0</v>
      </c>
      <c r="L288" s="32">
        <v>1.0</v>
      </c>
      <c r="M288" s="33" t="s">
        <v>538</v>
      </c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/>
      <c r="B289" s="31"/>
      <c r="C289" s="31"/>
      <c r="D289" s="30" t="s">
        <v>547</v>
      </c>
      <c r="E289" s="30" t="s">
        <v>548</v>
      </c>
      <c r="F289" s="30"/>
      <c r="G289" s="30"/>
      <c r="H289" s="30" t="s">
        <v>408</v>
      </c>
      <c r="I289" s="32" t="s">
        <v>549</v>
      </c>
      <c r="J289" s="32">
        <v>1.0</v>
      </c>
      <c r="K289" s="32">
        <v>3.0</v>
      </c>
      <c r="L289" s="32">
        <v>3.0</v>
      </c>
      <c r="M289" s="33" t="s">
        <v>538</v>
      </c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/>
      <c r="B290" s="31"/>
      <c r="C290" s="31"/>
      <c r="D290" s="30" t="s">
        <v>16</v>
      </c>
      <c r="E290" s="30" t="s">
        <v>550</v>
      </c>
      <c r="F290" s="30"/>
      <c r="G290" s="30"/>
      <c r="H290" s="30" t="s">
        <v>408</v>
      </c>
      <c r="I290" s="32" t="s">
        <v>551</v>
      </c>
      <c r="J290" s="32">
        <v>1.0</v>
      </c>
      <c r="K290" s="32">
        <v>2.0</v>
      </c>
      <c r="L290" s="32">
        <v>2.0</v>
      </c>
      <c r="M290" s="33" t="s">
        <v>538</v>
      </c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/>
      <c r="B291" s="31"/>
      <c r="C291" s="31"/>
      <c r="D291" s="30" t="s">
        <v>26</v>
      </c>
      <c r="E291" s="30" t="s">
        <v>552</v>
      </c>
      <c r="F291" s="30"/>
      <c r="G291" s="30"/>
      <c r="H291" s="30" t="s">
        <v>408</v>
      </c>
      <c r="I291" s="32" t="s">
        <v>553</v>
      </c>
      <c r="J291" s="32">
        <v>1.0</v>
      </c>
      <c r="K291" s="32">
        <v>2.0</v>
      </c>
      <c r="L291" s="32">
        <v>2.0</v>
      </c>
      <c r="M291" s="33" t="s">
        <v>538</v>
      </c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/>
      <c r="B292" s="31"/>
      <c r="C292" s="31"/>
      <c r="D292" s="30" t="s">
        <v>554</v>
      </c>
      <c r="E292" s="30" t="s">
        <v>555</v>
      </c>
      <c r="F292" s="30"/>
      <c r="G292" s="30"/>
      <c r="H292" s="30" t="s">
        <v>408</v>
      </c>
      <c r="I292" s="32" t="s">
        <v>556</v>
      </c>
      <c r="J292" s="32">
        <v>1.0</v>
      </c>
      <c r="K292" s="32">
        <v>2.0</v>
      </c>
      <c r="L292" s="32">
        <v>2.0</v>
      </c>
      <c r="M292" s="33" t="s">
        <v>538</v>
      </c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/>
      <c r="B293" s="31"/>
      <c r="C293" s="31"/>
      <c r="D293" s="30"/>
      <c r="E293" s="30" t="s">
        <v>557</v>
      </c>
      <c r="F293" s="30"/>
      <c r="G293" s="30"/>
      <c r="H293" s="30" t="s">
        <v>408</v>
      </c>
      <c r="I293" s="32" t="s">
        <v>558</v>
      </c>
      <c r="J293" s="32">
        <v>1.0</v>
      </c>
      <c r="K293" s="32">
        <v>1.0</v>
      </c>
      <c r="L293" s="32">
        <v>1.0</v>
      </c>
      <c r="M293" s="33" t="s">
        <v>538</v>
      </c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 t="s">
        <v>559</v>
      </c>
      <c r="B294" s="31"/>
      <c r="C294" s="31"/>
      <c r="D294" s="30"/>
      <c r="E294" s="30" t="s">
        <v>560</v>
      </c>
      <c r="F294" s="30"/>
      <c r="G294" s="30"/>
      <c r="H294" s="30" t="s">
        <v>408</v>
      </c>
      <c r="I294" s="32" t="s">
        <v>561</v>
      </c>
      <c r="J294" s="32">
        <v>1.0</v>
      </c>
      <c r="K294" s="32">
        <v>1.0</v>
      </c>
      <c r="L294" s="32">
        <v>1.0</v>
      </c>
      <c r="M294" s="33" t="s">
        <v>562</v>
      </c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/>
      <c r="B295" s="31"/>
      <c r="C295" s="31"/>
      <c r="D295" s="30" t="s">
        <v>547</v>
      </c>
      <c r="E295" s="30" t="s">
        <v>0</v>
      </c>
      <c r="F295" s="30"/>
      <c r="G295" s="30"/>
      <c r="H295" s="30" t="s">
        <v>408</v>
      </c>
      <c r="I295" s="32" t="s">
        <v>563</v>
      </c>
      <c r="J295" s="32">
        <v>1.0</v>
      </c>
      <c r="K295" s="32">
        <v>3.0</v>
      </c>
      <c r="L295" s="32">
        <v>3.0</v>
      </c>
      <c r="M295" s="33" t="s">
        <v>562</v>
      </c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/>
      <c r="B296" s="31"/>
      <c r="C296" s="31"/>
      <c r="D296" s="30" t="s">
        <v>564</v>
      </c>
      <c r="E296" s="30" t="s">
        <v>565</v>
      </c>
      <c r="F296" s="30"/>
      <c r="G296" s="30"/>
      <c r="H296" s="30" t="s">
        <v>408</v>
      </c>
      <c r="I296" s="32" t="s">
        <v>566</v>
      </c>
      <c r="J296" s="32">
        <v>1.0</v>
      </c>
      <c r="K296" s="32">
        <v>2.0</v>
      </c>
      <c r="L296" s="32">
        <v>2.0</v>
      </c>
      <c r="M296" s="33" t="s">
        <v>562</v>
      </c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/>
      <c r="B297" s="31"/>
      <c r="C297" s="31"/>
      <c r="D297" s="30"/>
      <c r="E297" s="30" t="s">
        <v>567</v>
      </c>
      <c r="F297" s="30"/>
      <c r="G297" s="30"/>
      <c r="H297" s="30" t="s">
        <v>408</v>
      </c>
      <c r="I297" s="32" t="s">
        <v>568</v>
      </c>
      <c r="J297" s="32">
        <v>1.0</v>
      </c>
      <c r="K297" s="32">
        <v>2.0</v>
      </c>
      <c r="L297" s="32">
        <v>2.0</v>
      </c>
      <c r="M297" s="33" t="s">
        <v>562</v>
      </c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 t="s">
        <v>569</v>
      </c>
      <c r="B298" s="31"/>
      <c r="C298" s="31"/>
      <c r="D298" s="30"/>
      <c r="E298" s="30" t="s">
        <v>570</v>
      </c>
      <c r="F298" s="30"/>
      <c r="G298" s="30"/>
      <c r="H298" s="30" t="s">
        <v>408</v>
      </c>
      <c r="I298" s="32" t="s">
        <v>571</v>
      </c>
      <c r="J298" s="32">
        <v>1.0</v>
      </c>
      <c r="K298" s="32">
        <v>1.0</v>
      </c>
      <c r="L298" s="32">
        <v>1.0</v>
      </c>
      <c r="M298" s="33" t="s">
        <v>562</v>
      </c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/>
      <c r="B299" s="31"/>
      <c r="C299" s="31"/>
      <c r="D299" s="30"/>
      <c r="E299" s="30" t="s">
        <v>572</v>
      </c>
      <c r="F299" s="30"/>
      <c r="G299" s="30"/>
      <c r="H299" s="30" t="s">
        <v>18</v>
      </c>
      <c r="I299" s="32" t="s">
        <v>573</v>
      </c>
      <c r="J299" s="32">
        <v>1.0</v>
      </c>
      <c r="K299" s="32">
        <v>1.0</v>
      </c>
      <c r="L299" s="32">
        <v>1.0</v>
      </c>
      <c r="M299" s="33" t="s">
        <v>562</v>
      </c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/>
      <c r="B300" s="31"/>
      <c r="C300" s="31"/>
      <c r="D300" s="30" t="s">
        <v>547</v>
      </c>
      <c r="E300" s="30" t="s">
        <v>0</v>
      </c>
      <c r="F300" s="30"/>
      <c r="G300" s="30"/>
      <c r="H300" s="30" t="s">
        <v>408</v>
      </c>
      <c r="I300" s="32" t="s">
        <v>574</v>
      </c>
      <c r="J300" s="32">
        <v>1.0</v>
      </c>
      <c r="K300" s="32">
        <v>3.0</v>
      </c>
      <c r="L300" s="32">
        <v>3.0</v>
      </c>
      <c r="M300" s="33" t="s">
        <v>562</v>
      </c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/>
      <c r="B301" s="31"/>
      <c r="C301" s="31"/>
      <c r="D301" s="30" t="s">
        <v>547</v>
      </c>
      <c r="E301" s="30" t="s">
        <v>575</v>
      </c>
      <c r="F301" s="30"/>
      <c r="G301" s="30"/>
      <c r="H301" s="30" t="s">
        <v>408</v>
      </c>
      <c r="I301" s="32" t="s">
        <v>576</v>
      </c>
      <c r="J301" s="32">
        <v>1.0</v>
      </c>
      <c r="K301" s="32">
        <v>3.0</v>
      </c>
      <c r="L301" s="32">
        <v>3.0</v>
      </c>
      <c r="M301" s="33" t="s">
        <v>562</v>
      </c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/>
      <c r="B302" s="31"/>
      <c r="C302" s="31"/>
      <c r="D302" s="30"/>
      <c r="E302" s="30" t="s">
        <v>577</v>
      </c>
      <c r="F302" s="30"/>
      <c r="G302" s="30"/>
      <c r="H302" s="30" t="s">
        <v>408</v>
      </c>
      <c r="I302" s="32" t="s">
        <v>578</v>
      </c>
      <c r="J302" s="32">
        <v>1.0</v>
      </c>
      <c r="K302" s="32">
        <v>1.0</v>
      </c>
      <c r="L302" s="32">
        <v>1.0</v>
      </c>
      <c r="M302" s="33" t="s">
        <v>562</v>
      </c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/>
      <c r="B303" s="31"/>
      <c r="C303" s="31"/>
      <c r="D303" s="30" t="s">
        <v>564</v>
      </c>
      <c r="E303" s="30" t="s">
        <v>565</v>
      </c>
      <c r="F303" s="30"/>
      <c r="G303" s="30"/>
      <c r="H303" s="30" t="s">
        <v>408</v>
      </c>
      <c r="I303" s="32" t="s">
        <v>579</v>
      </c>
      <c r="J303" s="32">
        <v>1.0</v>
      </c>
      <c r="K303" s="32">
        <v>1.0</v>
      </c>
      <c r="L303" s="32">
        <v>1.0</v>
      </c>
      <c r="M303" s="33" t="s">
        <v>562</v>
      </c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/>
      <c r="B304" s="31"/>
      <c r="C304" s="31"/>
      <c r="D304" s="30" t="s">
        <v>564</v>
      </c>
      <c r="E304" s="30" t="s">
        <v>580</v>
      </c>
      <c r="F304" s="30"/>
      <c r="G304" s="30"/>
      <c r="H304" s="30" t="s">
        <v>408</v>
      </c>
      <c r="I304" s="32" t="s">
        <v>581</v>
      </c>
      <c r="J304" s="32">
        <v>1.0</v>
      </c>
      <c r="K304" s="32">
        <v>1.0</v>
      </c>
      <c r="L304" s="32">
        <v>1.0</v>
      </c>
      <c r="M304" s="33" t="s">
        <v>562</v>
      </c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/>
      <c r="B305" s="31"/>
      <c r="C305" s="31"/>
      <c r="D305" s="30"/>
      <c r="E305" s="30" t="s">
        <v>582</v>
      </c>
      <c r="F305" s="30"/>
      <c r="G305" s="30"/>
      <c r="H305" s="30" t="s">
        <v>408</v>
      </c>
      <c r="I305" s="32" t="s">
        <v>583</v>
      </c>
      <c r="J305" s="32">
        <v>1.0</v>
      </c>
      <c r="K305" s="32">
        <v>1.0</v>
      </c>
      <c r="L305" s="32">
        <v>1.0</v>
      </c>
      <c r="M305" s="33" t="s">
        <v>562</v>
      </c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 t="s">
        <v>584</v>
      </c>
      <c r="B306" s="31"/>
      <c r="C306" s="31"/>
      <c r="D306" s="30"/>
      <c r="E306" s="30" t="s">
        <v>585</v>
      </c>
      <c r="F306" s="30"/>
      <c r="G306" s="30"/>
      <c r="H306" s="30" t="s">
        <v>408</v>
      </c>
      <c r="I306" s="32" t="s">
        <v>586</v>
      </c>
      <c r="J306" s="32">
        <v>1.0</v>
      </c>
      <c r="K306" s="32">
        <v>1.0</v>
      </c>
      <c r="L306" s="32">
        <v>1.0</v>
      </c>
      <c r="M306" s="33" t="s">
        <v>562</v>
      </c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/>
      <c r="B307" s="31"/>
      <c r="C307" s="31"/>
      <c r="D307" s="30"/>
      <c r="E307" s="30" t="s">
        <v>560</v>
      </c>
      <c r="F307" s="30"/>
      <c r="G307" s="30"/>
      <c r="H307" s="30" t="s">
        <v>18</v>
      </c>
      <c r="I307" s="32" t="s">
        <v>587</v>
      </c>
      <c r="J307" s="32">
        <v>1.0</v>
      </c>
      <c r="K307" s="32">
        <v>1.0</v>
      </c>
      <c r="L307" s="32">
        <v>1.0</v>
      </c>
      <c r="M307" s="33" t="s">
        <v>562</v>
      </c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/>
      <c r="B308" s="31"/>
      <c r="C308" s="31"/>
      <c r="D308" s="30" t="s">
        <v>547</v>
      </c>
      <c r="E308" s="30" t="s">
        <v>588</v>
      </c>
      <c r="F308" s="30"/>
      <c r="G308" s="30"/>
      <c r="H308" s="30" t="s">
        <v>408</v>
      </c>
      <c r="I308" s="32" t="s">
        <v>589</v>
      </c>
      <c r="J308" s="32">
        <v>1.0</v>
      </c>
      <c r="K308" s="32">
        <v>3.0</v>
      </c>
      <c r="L308" s="32">
        <v>3.0</v>
      </c>
      <c r="M308" s="33" t="s">
        <v>562</v>
      </c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/>
      <c r="B309" s="31"/>
      <c r="C309" s="31"/>
      <c r="D309" s="30"/>
      <c r="E309" s="30" t="s">
        <v>582</v>
      </c>
      <c r="F309" s="30"/>
      <c r="G309" s="30"/>
      <c r="H309" s="30" t="s">
        <v>408</v>
      </c>
      <c r="I309" s="32" t="s">
        <v>590</v>
      </c>
      <c r="J309" s="32">
        <v>1.0</v>
      </c>
      <c r="K309" s="32">
        <v>1.0</v>
      </c>
      <c r="L309" s="32">
        <v>1.0</v>
      </c>
      <c r="M309" s="33" t="s">
        <v>562</v>
      </c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 t="s">
        <v>591</v>
      </c>
      <c r="B310" s="31"/>
      <c r="C310" s="31"/>
      <c r="D310" s="30"/>
      <c r="E310" s="30" t="s">
        <v>592</v>
      </c>
      <c r="F310" s="30"/>
      <c r="G310" s="30"/>
      <c r="H310" s="30" t="s">
        <v>408</v>
      </c>
      <c r="I310" s="32" t="s">
        <v>593</v>
      </c>
      <c r="J310" s="32">
        <v>1.0</v>
      </c>
      <c r="K310" s="32">
        <v>1.0</v>
      </c>
      <c r="L310" s="32">
        <f t="shared" ref="L310:L316" si="2">J310*K310</f>
        <v>1</v>
      </c>
      <c r="M310" s="33" t="s">
        <v>594</v>
      </c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/>
      <c r="B311" s="31"/>
      <c r="C311" s="31"/>
      <c r="D311" s="30" t="s">
        <v>547</v>
      </c>
      <c r="E311" s="30" t="s">
        <v>588</v>
      </c>
      <c r="F311" s="30"/>
      <c r="G311" s="30"/>
      <c r="H311" s="30" t="s">
        <v>408</v>
      </c>
      <c r="I311" s="32" t="str">
        <f t="shared" ref="I311:I316" si="3">DEC2HEX(#REF!+L310)</f>
        <v>#REF!</v>
      </c>
      <c r="J311" s="32">
        <v>1.0</v>
      </c>
      <c r="K311" s="32">
        <v>3.0</v>
      </c>
      <c r="L311" s="32">
        <f t="shared" si="2"/>
        <v>3</v>
      </c>
      <c r="M311" s="33" t="s">
        <v>594</v>
      </c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/>
      <c r="B312" s="31"/>
      <c r="C312" s="31"/>
      <c r="D312" s="30"/>
      <c r="E312" s="30" t="s">
        <v>595</v>
      </c>
      <c r="F312" s="30"/>
      <c r="G312" s="30"/>
      <c r="H312" s="30" t="s">
        <v>408</v>
      </c>
      <c r="I312" s="32" t="str">
        <f t="shared" si="3"/>
        <v>#REF!</v>
      </c>
      <c r="J312" s="32">
        <v>1.0</v>
      </c>
      <c r="K312" s="32">
        <v>4.0</v>
      </c>
      <c r="L312" s="32">
        <f t="shared" si="2"/>
        <v>4</v>
      </c>
      <c r="M312" s="33" t="s">
        <v>594</v>
      </c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/>
      <c r="B313" s="31"/>
      <c r="C313" s="31"/>
      <c r="D313" s="30" t="s">
        <v>366</v>
      </c>
      <c r="E313" s="30" t="s">
        <v>596</v>
      </c>
      <c r="F313" s="30"/>
      <c r="G313" s="30"/>
      <c r="H313" s="30" t="s">
        <v>408</v>
      </c>
      <c r="I313" s="32" t="str">
        <f t="shared" si="3"/>
        <v>#REF!</v>
      </c>
      <c r="J313" s="32">
        <v>1.0</v>
      </c>
      <c r="K313" s="32">
        <v>1.0</v>
      </c>
      <c r="L313" s="32">
        <f t="shared" si="2"/>
        <v>1</v>
      </c>
      <c r="M313" s="33" t="s">
        <v>594</v>
      </c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/>
      <c r="B314" s="31"/>
      <c r="C314" s="31"/>
      <c r="D314" s="30" t="s">
        <v>597</v>
      </c>
      <c r="E314" s="30" t="s">
        <v>598</v>
      </c>
      <c r="F314" s="30"/>
      <c r="G314" s="30"/>
      <c r="H314" s="30" t="s">
        <v>408</v>
      </c>
      <c r="I314" s="32" t="str">
        <f t="shared" si="3"/>
        <v>#REF!</v>
      </c>
      <c r="J314" s="32">
        <v>1.0</v>
      </c>
      <c r="K314" s="32">
        <v>2.0</v>
      </c>
      <c r="L314" s="32">
        <f t="shared" si="2"/>
        <v>2</v>
      </c>
      <c r="M314" s="33" t="s">
        <v>594</v>
      </c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/>
      <c r="B315" s="31"/>
      <c r="C315" s="31"/>
      <c r="D315" s="30"/>
      <c r="E315" s="30" t="s">
        <v>599</v>
      </c>
      <c r="F315" s="30"/>
      <c r="G315" s="30"/>
      <c r="H315" s="30" t="s">
        <v>408</v>
      </c>
      <c r="I315" s="32" t="str">
        <f t="shared" si="3"/>
        <v>#REF!</v>
      </c>
      <c r="J315" s="32">
        <v>1.0</v>
      </c>
      <c r="K315" s="32">
        <v>1.0</v>
      </c>
      <c r="L315" s="32">
        <f t="shared" si="2"/>
        <v>1</v>
      </c>
      <c r="M315" s="33" t="s">
        <v>594</v>
      </c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/>
      <c r="B316" s="31"/>
      <c r="C316" s="31"/>
      <c r="D316" s="30"/>
      <c r="E316" s="30" t="s">
        <v>600</v>
      </c>
      <c r="F316" s="30"/>
      <c r="G316" s="30"/>
      <c r="H316" s="30" t="s">
        <v>408</v>
      </c>
      <c r="I316" s="32" t="str">
        <f t="shared" si="3"/>
        <v>#REF!</v>
      </c>
      <c r="J316" s="32">
        <v>1.0</v>
      </c>
      <c r="K316" s="32">
        <v>2.0</v>
      </c>
      <c r="L316" s="32">
        <f t="shared" si="2"/>
        <v>2</v>
      </c>
      <c r="M316" s="33" t="s">
        <v>594</v>
      </c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 t="s">
        <v>601</v>
      </c>
      <c r="B317" s="31"/>
      <c r="C317" s="31"/>
      <c r="D317" s="30" t="s">
        <v>40</v>
      </c>
      <c r="E317" s="30" t="s">
        <v>602</v>
      </c>
      <c r="F317" s="30">
        <v>0.001</v>
      </c>
      <c r="G317" s="30" t="s">
        <v>17</v>
      </c>
      <c r="H317" s="30" t="s">
        <v>408</v>
      </c>
      <c r="I317" s="32" t="s">
        <v>603</v>
      </c>
      <c r="J317" s="32">
        <v>1.0</v>
      </c>
      <c r="K317" s="32">
        <v>2.0</v>
      </c>
      <c r="L317" s="32">
        <v>2.0</v>
      </c>
      <c r="M317" s="33" t="s">
        <v>604</v>
      </c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 t="s">
        <v>605</v>
      </c>
      <c r="B318" s="31"/>
      <c r="C318" s="31"/>
      <c r="D318" s="30" t="s">
        <v>44</v>
      </c>
      <c r="E318" s="30" t="s">
        <v>606</v>
      </c>
      <c r="F318" s="30">
        <v>0.001</v>
      </c>
      <c r="G318" s="30" t="s">
        <v>17</v>
      </c>
      <c r="H318" s="30" t="s">
        <v>408</v>
      </c>
      <c r="I318" s="32" t="s">
        <v>607</v>
      </c>
      <c r="J318" s="32">
        <v>1.0</v>
      </c>
      <c r="K318" s="32">
        <v>2.0</v>
      </c>
      <c r="L318" s="32">
        <v>2.0</v>
      </c>
      <c r="M318" s="33" t="s">
        <v>604</v>
      </c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 t="s">
        <v>608</v>
      </c>
      <c r="B319" s="31"/>
      <c r="C319" s="31"/>
      <c r="D319" s="30"/>
      <c r="E319" s="30" t="s">
        <v>609</v>
      </c>
      <c r="F319" s="30"/>
      <c r="G319" s="30"/>
      <c r="H319" s="30" t="s">
        <v>408</v>
      </c>
      <c r="I319" s="32" t="s">
        <v>610</v>
      </c>
      <c r="J319" s="32">
        <v>1.0</v>
      </c>
      <c r="K319" s="32">
        <v>1.0</v>
      </c>
      <c r="L319" s="32">
        <v>1.0</v>
      </c>
      <c r="M319" s="33" t="s">
        <v>538</v>
      </c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 t="s">
        <v>611</v>
      </c>
      <c r="B320" s="34"/>
      <c r="C320" s="34"/>
      <c r="D320" s="35"/>
      <c r="E320" s="30" t="s">
        <v>493</v>
      </c>
      <c r="F320" s="30"/>
      <c r="G320" s="30" t="s">
        <v>17</v>
      </c>
      <c r="H320" s="30" t="s">
        <v>408</v>
      </c>
      <c r="I320" s="32" t="s">
        <v>612</v>
      </c>
      <c r="J320" s="32">
        <v>1.0</v>
      </c>
      <c r="K320" s="32">
        <v>1.0</v>
      </c>
      <c r="L320" s="32">
        <v>1.0</v>
      </c>
      <c r="M320" s="33" t="s">
        <v>524</v>
      </c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 t="s">
        <v>613</v>
      </c>
      <c r="B321" s="31"/>
      <c r="C321" s="31"/>
      <c r="D321" s="30"/>
      <c r="E321" s="30" t="s">
        <v>614</v>
      </c>
      <c r="F321" s="30"/>
      <c r="G321" s="30" t="s">
        <v>17</v>
      </c>
      <c r="H321" s="30" t="s">
        <v>408</v>
      </c>
      <c r="I321" s="32" t="s">
        <v>615</v>
      </c>
      <c r="J321" s="32">
        <v>1.0</v>
      </c>
      <c r="K321" s="32">
        <v>1.0</v>
      </c>
      <c r="L321" s="32">
        <f t="shared" ref="L321:L328" si="4">J321*K321</f>
        <v>1</v>
      </c>
      <c r="M321" s="33" t="s">
        <v>616</v>
      </c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1"/>
      <c r="C322" s="31"/>
      <c r="D322" s="30"/>
      <c r="E322" s="30" t="s">
        <v>617</v>
      </c>
      <c r="F322" s="30"/>
      <c r="G322" s="30" t="s">
        <v>17</v>
      </c>
      <c r="H322" s="30" t="s">
        <v>408</v>
      </c>
      <c r="I322" s="32" t="s">
        <v>618</v>
      </c>
      <c r="J322" s="32">
        <v>1.0</v>
      </c>
      <c r="K322" s="32">
        <v>2.0</v>
      </c>
      <c r="L322" s="32">
        <f t="shared" si="4"/>
        <v>2</v>
      </c>
      <c r="M322" s="33" t="s">
        <v>616</v>
      </c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1"/>
      <c r="C323" s="31"/>
      <c r="D323" s="30"/>
      <c r="E323" s="30" t="s">
        <v>619</v>
      </c>
      <c r="F323" s="30"/>
      <c r="G323" s="30" t="s">
        <v>17</v>
      </c>
      <c r="H323" s="30" t="s">
        <v>408</v>
      </c>
      <c r="I323" s="32" t="s">
        <v>620</v>
      </c>
      <c r="J323" s="32">
        <v>1.0</v>
      </c>
      <c r="K323" s="32">
        <v>2.0</v>
      </c>
      <c r="L323" s="32">
        <f t="shared" si="4"/>
        <v>2</v>
      </c>
      <c r="M323" s="33" t="s">
        <v>616</v>
      </c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1"/>
      <c r="C324" s="31"/>
      <c r="D324" s="30"/>
      <c r="E324" s="30" t="s">
        <v>621</v>
      </c>
      <c r="F324" s="30"/>
      <c r="G324" s="30" t="s">
        <v>17</v>
      </c>
      <c r="H324" s="30" t="s">
        <v>408</v>
      </c>
      <c r="I324" s="32" t="s">
        <v>622</v>
      </c>
      <c r="J324" s="32">
        <v>1.0</v>
      </c>
      <c r="K324" s="32">
        <v>2.0</v>
      </c>
      <c r="L324" s="32">
        <f t="shared" si="4"/>
        <v>2</v>
      </c>
      <c r="M324" s="33" t="s">
        <v>616</v>
      </c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1"/>
      <c r="C325" s="31"/>
      <c r="D325" s="30"/>
      <c r="E325" s="30" t="s">
        <v>623</v>
      </c>
      <c r="F325" s="30"/>
      <c r="G325" s="30" t="s">
        <v>17</v>
      </c>
      <c r="H325" s="30" t="s">
        <v>408</v>
      </c>
      <c r="I325" s="32" t="s">
        <v>624</v>
      </c>
      <c r="J325" s="32">
        <v>1.0</v>
      </c>
      <c r="K325" s="32">
        <v>1.0</v>
      </c>
      <c r="L325" s="32">
        <f t="shared" si="4"/>
        <v>1</v>
      </c>
      <c r="M325" s="33" t="s">
        <v>616</v>
      </c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 t="s">
        <v>625</v>
      </c>
      <c r="B326" s="31"/>
      <c r="C326" s="31"/>
      <c r="D326" s="30"/>
      <c r="E326" s="30" t="s">
        <v>626</v>
      </c>
      <c r="F326" s="30"/>
      <c r="G326" s="30" t="s">
        <v>17</v>
      </c>
      <c r="H326" s="30" t="s">
        <v>18</v>
      </c>
      <c r="I326" s="32" t="s">
        <v>627</v>
      </c>
      <c r="J326" s="32">
        <v>1.0</v>
      </c>
      <c r="K326" s="32">
        <v>2.0</v>
      </c>
      <c r="L326" s="32">
        <f t="shared" si="4"/>
        <v>2</v>
      </c>
      <c r="M326" s="33" t="s">
        <v>628</v>
      </c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1"/>
      <c r="C327" s="31"/>
      <c r="D327" s="30"/>
      <c r="E327" s="30" t="s">
        <v>629</v>
      </c>
      <c r="F327" s="30"/>
      <c r="G327" s="30" t="s">
        <v>17</v>
      </c>
      <c r="H327" s="30" t="s">
        <v>18</v>
      </c>
      <c r="I327" s="32" t="s">
        <v>630</v>
      </c>
      <c r="J327" s="32">
        <v>1.0</v>
      </c>
      <c r="K327" s="32">
        <v>2.0</v>
      </c>
      <c r="L327" s="32">
        <f t="shared" si="4"/>
        <v>2</v>
      </c>
      <c r="M327" s="33" t="s">
        <v>628</v>
      </c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1"/>
      <c r="C328" s="31"/>
      <c r="D328" s="30"/>
      <c r="E328" s="30" t="s">
        <v>631</v>
      </c>
      <c r="F328" s="30"/>
      <c r="G328" s="30" t="s">
        <v>17</v>
      </c>
      <c r="H328" s="30" t="s">
        <v>408</v>
      </c>
      <c r="I328" s="32" t="s">
        <v>632</v>
      </c>
      <c r="J328" s="32">
        <v>1.0</v>
      </c>
      <c r="K328" s="32">
        <v>2.0</v>
      </c>
      <c r="L328" s="32">
        <f t="shared" si="4"/>
        <v>2</v>
      </c>
      <c r="M328" s="33" t="s">
        <v>633</v>
      </c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 t="s">
        <v>634</v>
      </c>
      <c r="B329" s="31"/>
      <c r="C329" s="31"/>
      <c r="D329" s="30"/>
      <c r="E329" s="30" t="s">
        <v>635</v>
      </c>
      <c r="F329" s="30"/>
      <c r="G329" s="30" t="s">
        <v>17</v>
      </c>
      <c r="H329" s="30" t="s">
        <v>408</v>
      </c>
      <c r="I329" s="32" t="s">
        <v>636</v>
      </c>
      <c r="J329" s="32">
        <v>1.0</v>
      </c>
      <c r="K329" s="32">
        <v>1.0</v>
      </c>
      <c r="L329" s="32">
        <v>1.0</v>
      </c>
      <c r="M329" s="33" t="s">
        <v>637</v>
      </c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1"/>
      <c r="C330" s="31"/>
      <c r="D330" s="30"/>
      <c r="E330" s="30" t="s">
        <v>638</v>
      </c>
      <c r="F330" s="30"/>
      <c r="G330" s="30" t="s">
        <v>17</v>
      </c>
      <c r="H330" s="30" t="s">
        <v>408</v>
      </c>
      <c r="I330" s="32" t="s">
        <v>639</v>
      </c>
      <c r="J330" s="32">
        <v>1.0</v>
      </c>
      <c r="K330" s="32">
        <v>1.0</v>
      </c>
      <c r="L330" s="32">
        <f>J330*K330</f>
        <v>1</v>
      </c>
      <c r="M330" s="33" t="s">
        <v>637</v>
      </c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 t="s">
        <v>640</v>
      </c>
      <c r="B331" s="31"/>
      <c r="C331" s="31"/>
      <c r="D331" s="30"/>
      <c r="E331" s="30"/>
      <c r="F331" s="30"/>
      <c r="G331" s="30" t="s">
        <v>17</v>
      </c>
      <c r="H331" s="30" t="s">
        <v>408</v>
      </c>
      <c r="I331" s="32" t="s">
        <v>641</v>
      </c>
      <c r="J331" s="32">
        <v>1.0</v>
      </c>
      <c r="K331" s="32">
        <v>1.0</v>
      </c>
      <c r="L331" s="32">
        <v>1.0</v>
      </c>
      <c r="M331" s="33" t="s">
        <v>637</v>
      </c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 t="s">
        <v>642</v>
      </c>
      <c r="B332" s="31"/>
      <c r="C332" s="31"/>
      <c r="D332" s="30"/>
      <c r="E332" s="30" t="s">
        <v>643</v>
      </c>
      <c r="F332" s="30"/>
      <c r="G332" s="30" t="s">
        <v>17</v>
      </c>
      <c r="H332" s="30" t="s">
        <v>414</v>
      </c>
      <c r="I332" s="32" t="s">
        <v>644</v>
      </c>
      <c r="J332" s="32">
        <v>1.0</v>
      </c>
      <c r="K332" s="32">
        <v>1.0</v>
      </c>
      <c r="L332" s="32">
        <f t="shared" ref="L332:L337" si="5">J332*K332</f>
        <v>1</v>
      </c>
      <c r="M332" s="33" t="s">
        <v>645</v>
      </c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 t="s">
        <v>646</v>
      </c>
      <c r="B333" s="31"/>
      <c r="C333" s="31"/>
      <c r="D333" s="30"/>
      <c r="E333" s="30" t="s">
        <v>643</v>
      </c>
      <c r="F333" s="30"/>
      <c r="G333" s="30" t="s">
        <v>17</v>
      </c>
      <c r="H333" s="30" t="s">
        <v>414</v>
      </c>
      <c r="I333" s="32" t="s">
        <v>647</v>
      </c>
      <c r="J333" s="32">
        <v>1.0</v>
      </c>
      <c r="K333" s="32">
        <v>1.0</v>
      </c>
      <c r="L333" s="32">
        <f t="shared" si="5"/>
        <v>1</v>
      </c>
      <c r="M333" s="33" t="s">
        <v>645</v>
      </c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 t="s">
        <v>648</v>
      </c>
      <c r="B334" s="31"/>
      <c r="C334" s="31"/>
      <c r="D334" s="30"/>
      <c r="E334" s="30" t="s">
        <v>643</v>
      </c>
      <c r="F334" s="30"/>
      <c r="G334" s="30" t="s">
        <v>17</v>
      </c>
      <c r="H334" s="30" t="s">
        <v>414</v>
      </c>
      <c r="I334" s="32" t="s">
        <v>649</v>
      </c>
      <c r="J334" s="32">
        <v>1.0</v>
      </c>
      <c r="K334" s="32">
        <v>1.0</v>
      </c>
      <c r="L334" s="32">
        <f t="shared" si="5"/>
        <v>1</v>
      </c>
      <c r="M334" s="33" t="s">
        <v>645</v>
      </c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6" t="s">
        <v>650</v>
      </c>
      <c r="B335" s="37"/>
      <c r="C335" s="37"/>
      <c r="D335" s="36"/>
      <c r="E335" s="36" t="s">
        <v>643</v>
      </c>
      <c r="F335" s="36"/>
      <c r="G335" s="36" t="s">
        <v>17</v>
      </c>
      <c r="H335" s="36" t="s">
        <v>414</v>
      </c>
      <c r="I335" s="38" t="s">
        <v>651</v>
      </c>
      <c r="J335" s="38">
        <v>1.0</v>
      </c>
      <c r="K335" s="38">
        <v>1.0</v>
      </c>
      <c r="L335" s="38">
        <f t="shared" si="5"/>
        <v>1</v>
      </c>
      <c r="M335" s="39" t="s">
        <v>645</v>
      </c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0" t="s">
        <v>652</v>
      </c>
      <c r="B336" s="31"/>
      <c r="C336" s="31"/>
      <c r="D336" s="30"/>
      <c r="E336" s="30" t="s">
        <v>643</v>
      </c>
      <c r="F336" s="30"/>
      <c r="G336" s="30" t="s">
        <v>17</v>
      </c>
      <c r="H336" s="30" t="s">
        <v>414</v>
      </c>
      <c r="I336" s="32" t="s">
        <v>653</v>
      </c>
      <c r="J336" s="32">
        <v>1.0</v>
      </c>
      <c r="K336" s="32">
        <v>1.0</v>
      </c>
      <c r="L336" s="32">
        <f t="shared" si="5"/>
        <v>1</v>
      </c>
      <c r="M336" s="33" t="s">
        <v>645</v>
      </c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 t="s">
        <v>654</v>
      </c>
      <c r="B337" s="31"/>
      <c r="C337" s="31"/>
      <c r="D337" s="30"/>
      <c r="E337" s="30" t="s">
        <v>643</v>
      </c>
      <c r="F337" s="30"/>
      <c r="G337" s="30" t="s">
        <v>17</v>
      </c>
      <c r="H337" s="30" t="s">
        <v>414</v>
      </c>
      <c r="I337" s="32" t="s">
        <v>655</v>
      </c>
      <c r="J337" s="32">
        <v>1.0</v>
      </c>
      <c r="K337" s="32">
        <v>1.0</v>
      </c>
      <c r="L337" s="32">
        <f t="shared" si="5"/>
        <v>1</v>
      </c>
      <c r="M337" s="33" t="s">
        <v>645</v>
      </c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 t="s">
        <v>656</v>
      </c>
      <c r="B338" s="31"/>
      <c r="C338" s="31"/>
      <c r="D338" s="40"/>
      <c r="E338" s="30" t="s">
        <v>413</v>
      </c>
      <c r="F338" s="30"/>
      <c r="G338" s="30"/>
      <c r="H338" s="30" t="s">
        <v>408</v>
      </c>
      <c r="I338" s="32" t="s">
        <v>657</v>
      </c>
      <c r="J338" s="32"/>
      <c r="K338" s="32">
        <v>1.0</v>
      </c>
      <c r="L338" s="32">
        <v>1.0</v>
      </c>
      <c r="M338" s="33" t="s">
        <v>562</v>
      </c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1"/>
      <c r="C339" s="31"/>
      <c r="D339" s="30"/>
      <c r="E339" s="30" t="s">
        <v>658</v>
      </c>
      <c r="F339" s="30"/>
      <c r="G339" s="30"/>
      <c r="H339" s="30" t="s">
        <v>408</v>
      </c>
      <c r="I339" s="32" t="s">
        <v>659</v>
      </c>
      <c r="J339" s="32"/>
      <c r="K339" s="32">
        <v>1.0</v>
      </c>
      <c r="L339" s="32">
        <v>1.0</v>
      </c>
      <c r="M339" s="33" t="s">
        <v>562</v>
      </c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3.5" customHeight="1">
      <c r="A340" s="30"/>
      <c r="B340" s="31"/>
      <c r="C340" s="31"/>
      <c r="D340" s="30"/>
      <c r="E340" s="30" t="s">
        <v>660</v>
      </c>
      <c r="F340" s="30"/>
      <c r="G340" s="30"/>
      <c r="H340" s="30" t="s">
        <v>408</v>
      </c>
      <c r="I340" s="32" t="s">
        <v>661</v>
      </c>
      <c r="J340" s="32"/>
      <c r="K340" s="32">
        <v>3.0</v>
      </c>
      <c r="L340" s="32">
        <v>3.0</v>
      </c>
      <c r="M340" s="33" t="s">
        <v>562</v>
      </c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1"/>
      <c r="C341" s="31"/>
      <c r="D341" s="30"/>
      <c r="E341" s="30" t="s">
        <v>418</v>
      </c>
      <c r="F341" s="30"/>
      <c r="G341" s="30"/>
      <c r="H341" s="30" t="s">
        <v>408</v>
      </c>
      <c r="I341" s="32" t="s">
        <v>662</v>
      </c>
      <c r="J341" s="32"/>
      <c r="K341" s="32">
        <v>1.0</v>
      </c>
      <c r="L341" s="32">
        <v>1.0</v>
      </c>
      <c r="M341" s="33" t="s">
        <v>562</v>
      </c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1"/>
      <c r="C342" s="31"/>
      <c r="D342" s="30"/>
      <c r="E342" s="30" t="s">
        <v>663</v>
      </c>
      <c r="F342" s="30"/>
      <c r="G342" s="30"/>
      <c r="H342" s="30" t="s">
        <v>18</v>
      </c>
      <c r="I342" s="32" t="s">
        <v>664</v>
      </c>
      <c r="J342" s="32"/>
      <c r="K342" s="32">
        <v>115.0</v>
      </c>
      <c r="L342" s="32">
        <v>115.0</v>
      </c>
      <c r="M342" s="33" t="s">
        <v>562</v>
      </c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1"/>
      <c r="C343" s="31"/>
      <c r="D343" s="30"/>
      <c r="E343" s="30" t="s">
        <v>665</v>
      </c>
      <c r="F343" s="30"/>
      <c r="G343" s="30"/>
      <c r="H343" s="30" t="s">
        <v>18</v>
      </c>
      <c r="I343" s="32">
        <v>9002.0</v>
      </c>
      <c r="J343" s="32"/>
      <c r="K343" s="32">
        <v>115.0</v>
      </c>
      <c r="L343" s="32">
        <v>115.0</v>
      </c>
      <c r="M343" s="33" t="s">
        <v>562</v>
      </c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1"/>
      <c r="C344" s="31"/>
      <c r="D344" s="30"/>
      <c r="E344" s="30" t="s">
        <v>666</v>
      </c>
      <c r="F344" s="30"/>
      <c r="G344" s="30"/>
      <c r="H344" s="30" t="s">
        <v>18</v>
      </c>
      <c r="I344" s="32">
        <v>9082.0</v>
      </c>
      <c r="J344" s="32"/>
      <c r="K344" s="32">
        <v>115.0</v>
      </c>
      <c r="L344" s="32">
        <v>115.0</v>
      </c>
      <c r="M344" s="33" t="s">
        <v>562</v>
      </c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1"/>
      <c r="C345" s="31"/>
      <c r="D345" s="30"/>
      <c r="E345" s="30" t="s">
        <v>667</v>
      </c>
      <c r="F345" s="30"/>
      <c r="G345" s="30"/>
      <c r="H345" s="30" t="s">
        <v>18</v>
      </c>
      <c r="I345" s="32">
        <v>9102.0</v>
      </c>
      <c r="J345" s="32"/>
      <c r="K345" s="32">
        <v>115.0</v>
      </c>
      <c r="L345" s="32">
        <v>115.0</v>
      </c>
      <c r="M345" s="33" t="s">
        <v>562</v>
      </c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1"/>
      <c r="C346" s="31"/>
      <c r="D346" s="30"/>
      <c r="E346" s="30" t="s">
        <v>668</v>
      </c>
      <c r="F346" s="30"/>
      <c r="G346" s="30"/>
      <c r="H346" s="30" t="s">
        <v>18</v>
      </c>
      <c r="I346" s="32">
        <v>9182.0</v>
      </c>
      <c r="J346" s="32"/>
      <c r="K346" s="32">
        <v>115.0</v>
      </c>
      <c r="L346" s="32">
        <v>115.0</v>
      </c>
      <c r="M346" s="33" t="s">
        <v>562</v>
      </c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1"/>
      <c r="C347" s="31"/>
      <c r="D347" s="30"/>
      <c r="E347" s="30" t="s">
        <v>669</v>
      </c>
      <c r="F347" s="30"/>
      <c r="G347" s="30"/>
      <c r="H347" s="30" t="s">
        <v>18</v>
      </c>
      <c r="I347" s="32">
        <v>9202.0</v>
      </c>
      <c r="J347" s="32"/>
      <c r="K347" s="32">
        <v>115.0</v>
      </c>
      <c r="L347" s="32">
        <v>115.0</v>
      </c>
      <c r="M347" s="33" t="s">
        <v>562</v>
      </c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1"/>
      <c r="C348" s="31"/>
      <c r="D348" s="30"/>
      <c r="E348" s="30" t="s">
        <v>670</v>
      </c>
      <c r="F348" s="30"/>
      <c r="G348" s="30"/>
      <c r="H348" s="30" t="s">
        <v>18</v>
      </c>
      <c r="I348" s="32">
        <v>9282.0</v>
      </c>
      <c r="J348" s="32"/>
      <c r="K348" s="32">
        <v>115.0</v>
      </c>
      <c r="L348" s="32">
        <v>115.0</v>
      </c>
      <c r="M348" s="33" t="s">
        <v>562</v>
      </c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1"/>
      <c r="C349" s="31"/>
      <c r="D349" s="30"/>
      <c r="E349" s="30" t="s">
        <v>671</v>
      </c>
      <c r="F349" s="30"/>
      <c r="G349" s="30"/>
      <c r="H349" s="30" t="s">
        <v>18</v>
      </c>
      <c r="I349" s="32">
        <v>9302.0</v>
      </c>
      <c r="J349" s="32"/>
      <c r="K349" s="32">
        <v>115.0</v>
      </c>
      <c r="L349" s="32">
        <v>115.0</v>
      </c>
      <c r="M349" s="33" t="s">
        <v>562</v>
      </c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1"/>
      <c r="C350" s="31"/>
      <c r="D350" s="30"/>
      <c r="E350" s="30" t="s">
        <v>672</v>
      </c>
      <c r="F350" s="30"/>
      <c r="G350" s="30"/>
      <c r="H350" s="30" t="s">
        <v>18</v>
      </c>
      <c r="I350" s="32">
        <v>9382.0</v>
      </c>
      <c r="J350" s="32"/>
      <c r="K350" s="32">
        <v>115.0</v>
      </c>
      <c r="L350" s="32">
        <v>115.0</v>
      </c>
      <c r="M350" s="33" t="s">
        <v>562</v>
      </c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1"/>
      <c r="C351" s="31"/>
      <c r="D351" s="30"/>
      <c r="E351" s="30" t="s">
        <v>673</v>
      </c>
      <c r="F351" s="30"/>
      <c r="G351" s="30"/>
      <c r="H351" s="30" t="s">
        <v>18</v>
      </c>
      <c r="I351" s="32">
        <v>9402.0</v>
      </c>
      <c r="J351" s="32"/>
      <c r="K351" s="32">
        <v>115.0</v>
      </c>
      <c r="L351" s="32">
        <v>115.0</v>
      </c>
      <c r="M351" s="33" t="s">
        <v>562</v>
      </c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1"/>
      <c r="C352" s="31"/>
      <c r="D352" s="30"/>
      <c r="E352" s="30" t="s">
        <v>674</v>
      </c>
      <c r="F352" s="30"/>
      <c r="G352" s="30"/>
      <c r="H352" s="30" t="s">
        <v>18</v>
      </c>
      <c r="I352" s="32">
        <v>9482.0</v>
      </c>
      <c r="J352" s="32"/>
      <c r="K352" s="32">
        <v>115.0</v>
      </c>
      <c r="L352" s="32">
        <v>115.0</v>
      </c>
      <c r="M352" s="33" t="s">
        <v>562</v>
      </c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1"/>
      <c r="C353" s="31"/>
      <c r="D353" s="30"/>
      <c r="E353" s="30" t="s">
        <v>675</v>
      </c>
      <c r="F353" s="30"/>
      <c r="G353" s="30"/>
      <c r="H353" s="30" t="s">
        <v>18</v>
      </c>
      <c r="I353" s="32">
        <v>9502.0</v>
      </c>
      <c r="J353" s="32"/>
      <c r="K353" s="32">
        <v>115.0</v>
      </c>
      <c r="L353" s="32">
        <v>115.0</v>
      </c>
      <c r="M353" s="33" t="s">
        <v>562</v>
      </c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1"/>
      <c r="C354" s="31"/>
      <c r="D354" s="30"/>
      <c r="E354" s="30" t="s">
        <v>676</v>
      </c>
      <c r="F354" s="30"/>
      <c r="G354" s="30"/>
      <c r="H354" s="30" t="s">
        <v>18</v>
      </c>
      <c r="I354" s="32">
        <v>9582.0</v>
      </c>
      <c r="J354" s="32"/>
      <c r="K354" s="32">
        <v>115.0</v>
      </c>
      <c r="L354" s="32">
        <v>115.0</v>
      </c>
      <c r="M354" s="33" t="s">
        <v>562</v>
      </c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1"/>
      <c r="C355" s="31"/>
      <c r="D355" s="30"/>
      <c r="E355" s="30" t="s">
        <v>677</v>
      </c>
      <c r="F355" s="30"/>
      <c r="G355" s="30"/>
      <c r="H355" s="30" t="s">
        <v>18</v>
      </c>
      <c r="I355" s="32">
        <v>9602.0</v>
      </c>
      <c r="J355" s="32"/>
      <c r="K355" s="32">
        <v>115.0</v>
      </c>
      <c r="L355" s="32">
        <v>115.0</v>
      </c>
      <c r="M355" s="33" t="s">
        <v>562</v>
      </c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1"/>
      <c r="C356" s="31"/>
      <c r="D356" s="30"/>
      <c r="E356" s="30" t="s">
        <v>678</v>
      </c>
      <c r="F356" s="30"/>
      <c r="G356" s="30"/>
      <c r="H356" s="30" t="s">
        <v>18</v>
      </c>
      <c r="I356" s="32">
        <v>9682.0</v>
      </c>
      <c r="J356" s="32"/>
      <c r="K356" s="32">
        <v>115.0</v>
      </c>
      <c r="L356" s="32">
        <v>115.0</v>
      </c>
      <c r="M356" s="33" t="s">
        <v>562</v>
      </c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1"/>
      <c r="C357" s="31"/>
      <c r="D357" s="30"/>
      <c r="E357" s="30" t="s">
        <v>679</v>
      </c>
      <c r="F357" s="30"/>
      <c r="G357" s="30"/>
      <c r="H357" s="30" t="s">
        <v>18</v>
      </c>
      <c r="I357" s="32">
        <v>9702.0</v>
      </c>
      <c r="J357" s="32"/>
      <c r="K357" s="32">
        <v>115.0</v>
      </c>
      <c r="L357" s="32">
        <v>115.0</v>
      </c>
      <c r="M357" s="33" t="s">
        <v>562</v>
      </c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1"/>
      <c r="C358" s="31"/>
      <c r="D358" s="30"/>
      <c r="E358" s="30" t="s">
        <v>680</v>
      </c>
      <c r="F358" s="30"/>
      <c r="G358" s="30"/>
      <c r="H358" s="30" t="s">
        <v>18</v>
      </c>
      <c r="I358" s="32">
        <v>9782.0</v>
      </c>
      <c r="J358" s="32"/>
      <c r="K358" s="32">
        <v>115.0</v>
      </c>
      <c r="L358" s="32">
        <v>115.0</v>
      </c>
      <c r="M358" s="33" t="s">
        <v>562</v>
      </c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1"/>
      <c r="C359" s="31"/>
      <c r="D359" s="30"/>
      <c r="E359" s="30" t="s">
        <v>681</v>
      </c>
      <c r="F359" s="30"/>
      <c r="G359" s="30"/>
      <c r="H359" s="30" t="s">
        <v>18</v>
      </c>
      <c r="I359" s="32">
        <v>9802.0</v>
      </c>
      <c r="J359" s="32"/>
      <c r="K359" s="32">
        <v>115.0</v>
      </c>
      <c r="L359" s="32">
        <v>115.0</v>
      </c>
      <c r="M359" s="33" t="s">
        <v>562</v>
      </c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1"/>
      <c r="C360" s="31"/>
      <c r="D360" s="30"/>
      <c r="E360" s="30" t="s">
        <v>682</v>
      </c>
      <c r="F360" s="30"/>
      <c r="G360" s="30"/>
      <c r="H360" s="30" t="s">
        <v>18</v>
      </c>
      <c r="I360" s="32">
        <v>9882.0</v>
      </c>
      <c r="J360" s="32"/>
      <c r="K360" s="32">
        <v>115.0</v>
      </c>
      <c r="L360" s="32">
        <v>115.0</v>
      </c>
      <c r="M360" s="33" t="s">
        <v>562</v>
      </c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19" t="s">
        <v>683</v>
      </c>
      <c r="B361" s="21"/>
      <c r="C361" s="21"/>
      <c r="D361" s="19" t="s">
        <v>93</v>
      </c>
      <c r="E361" s="19" t="s">
        <v>684</v>
      </c>
      <c r="F361" s="19">
        <v>1.0</v>
      </c>
      <c r="G361" s="19" t="s">
        <v>23</v>
      </c>
      <c r="H361" s="19" t="s">
        <v>18</v>
      </c>
      <c r="I361" s="22" t="s">
        <v>685</v>
      </c>
      <c r="J361" s="22">
        <v>1.0</v>
      </c>
      <c r="K361" s="22">
        <v>2.0</v>
      </c>
      <c r="L361" s="22">
        <v>2.0</v>
      </c>
      <c r="M361" s="23" t="s">
        <v>62</v>
      </c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 t="s">
        <v>686</v>
      </c>
      <c r="B362" s="21"/>
      <c r="C362" s="21"/>
      <c r="D362" s="19" t="s">
        <v>93</v>
      </c>
      <c r="E362" s="19" t="s">
        <v>684</v>
      </c>
      <c r="F362" s="19">
        <v>1.0</v>
      </c>
      <c r="G362" s="19" t="s">
        <v>23</v>
      </c>
      <c r="H362" s="19" t="s">
        <v>18</v>
      </c>
      <c r="I362" s="22" t="s">
        <v>687</v>
      </c>
      <c r="J362" s="22">
        <v>1.0</v>
      </c>
      <c r="K362" s="22">
        <v>2.0</v>
      </c>
      <c r="L362" s="22">
        <v>2.0</v>
      </c>
      <c r="M362" s="23" t="s">
        <v>62</v>
      </c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 t="s">
        <v>688</v>
      </c>
      <c r="B363" s="21"/>
      <c r="C363" s="21"/>
      <c r="D363" s="19" t="s">
        <v>93</v>
      </c>
      <c r="E363" s="19" t="s">
        <v>684</v>
      </c>
      <c r="F363" s="19">
        <v>1.0</v>
      </c>
      <c r="G363" s="19" t="s">
        <v>23</v>
      </c>
      <c r="H363" s="19" t="s">
        <v>18</v>
      </c>
      <c r="I363" s="22" t="s">
        <v>689</v>
      </c>
      <c r="J363" s="22">
        <v>1.0</v>
      </c>
      <c r="K363" s="22">
        <v>2.0</v>
      </c>
      <c r="L363" s="22">
        <v>2.0</v>
      </c>
      <c r="M363" s="23" t="s">
        <v>62</v>
      </c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 t="s">
        <v>690</v>
      </c>
      <c r="B364" s="21"/>
      <c r="C364" s="21"/>
      <c r="D364" s="19" t="s">
        <v>93</v>
      </c>
      <c r="E364" s="19" t="s">
        <v>684</v>
      </c>
      <c r="F364" s="19">
        <v>1.0</v>
      </c>
      <c r="G364" s="19" t="s">
        <v>23</v>
      </c>
      <c r="H364" s="19" t="s">
        <v>18</v>
      </c>
      <c r="I364" s="22" t="s">
        <v>691</v>
      </c>
      <c r="J364" s="22">
        <v>1.0</v>
      </c>
      <c r="K364" s="22">
        <v>2.0</v>
      </c>
      <c r="L364" s="22">
        <v>2.0</v>
      </c>
      <c r="M364" s="23" t="s">
        <v>62</v>
      </c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 t="s">
        <v>692</v>
      </c>
      <c r="B365" s="21"/>
      <c r="C365" s="21"/>
      <c r="D365" s="19" t="s">
        <v>693</v>
      </c>
      <c r="E365" s="19" t="s">
        <v>684</v>
      </c>
      <c r="F365" s="19">
        <v>1.0</v>
      </c>
      <c r="G365" s="19" t="s">
        <v>23</v>
      </c>
      <c r="H365" s="19" t="s">
        <v>18</v>
      </c>
      <c r="I365" s="22" t="s">
        <v>694</v>
      </c>
      <c r="J365" s="22">
        <v>1.0</v>
      </c>
      <c r="K365" s="22">
        <v>2.0</v>
      </c>
      <c r="L365" s="22">
        <v>2.0</v>
      </c>
      <c r="M365" s="23" t="s">
        <v>62</v>
      </c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 t="s">
        <v>695</v>
      </c>
      <c r="B366" s="21"/>
      <c r="C366" s="21"/>
      <c r="D366" s="19" t="s">
        <v>693</v>
      </c>
      <c r="E366" s="19" t="s">
        <v>684</v>
      </c>
      <c r="F366" s="19">
        <v>1.0</v>
      </c>
      <c r="G366" s="19" t="s">
        <v>23</v>
      </c>
      <c r="H366" s="19" t="s">
        <v>18</v>
      </c>
      <c r="I366" s="22" t="s">
        <v>696</v>
      </c>
      <c r="J366" s="22">
        <v>1.0</v>
      </c>
      <c r="K366" s="22">
        <v>2.0</v>
      </c>
      <c r="L366" s="22">
        <v>2.0</v>
      </c>
      <c r="M366" s="23" t="s">
        <v>62</v>
      </c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 t="s">
        <v>697</v>
      </c>
      <c r="B367" s="21"/>
      <c r="C367" s="21"/>
      <c r="D367" s="19" t="s">
        <v>693</v>
      </c>
      <c r="E367" s="19" t="s">
        <v>684</v>
      </c>
      <c r="F367" s="19">
        <v>1.0</v>
      </c>
      <c r="G367" s="19" t="s">
        <v>23</v>
      </c>
      <c r="H367" s="19" t="s">
        <v>18</v>
      </c>
      <c r="I367" s="22" t="s">
        <v>698</v>
      </c>
      <c r="J367" s="22">
        <v>1.0</v>
      </c>
      <c r="K367" s="22">
        <v>2.0</v>
      </c>
      <c r="L367" s="22">
        <v>2.0</v>
      </c>
      <c r="M367" s="23" t="s">
        <v>62</v>
      </c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 t="s">
        <v>699</v>
      </c>
      <c r="B368" s="21"/>
      <c r="C368" s="21"/>
      <c r="D368" s="19" t="s">
        <v>693</v>
      </c>
      <c r="E368" s="19" t="s">
        <v>684</v>
      </c>
      <c r="F368" s="19">
        <v>1.0</v>
      </c>
      <c r="G368" s="19" t="s">
        <v>23</v>
      </c>
      <c r="H368" s="19" t="s">
        <v>18</v>
      </c>
      <c r="I368" s="22" t="s">
        <v>700</v>
      </c>
      <c r="J368" s="22">
        <v>1.0</v>
      </c>
      <c r="K368" s="22">
        <v>2.0</v>
      </c>
      <c r="L368" s="22">
        <v>2.0</v>
      </c>
      <c r="M368" s="23" t="s">
        <v>62</v>
      </c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 t="s">
        <v>701</v>
      </c>
      <c r="B369" s="21"/>
      <c r="C369" s="21"/>
      <c r="D369" s="19" t="s">
        <v>106</v>
      </c>
      <c r="E369" s="19" t="s">
        <v>684</v>
      </c>
      <c r="F369" s="19">
        <v>1.0</v>
      </c>
      <c r="G369" s="19" t="s">
        <v>23</v>
      </c>
      <c r="H369" s="19" t="s">
        <v>18</v>
      </c>
      <c r="I369" s="22" t="s">
        <v>702</v>
      </c>
      <c r="J369" s="22">
        <v>1.0</v>
      </c>
      <c r="K369" s="22">
        <v>2.0</v>
      </c>
      <c r="L369" s="22">
        <v>2.0</v>
      </c>
      <c r="M369" s="23" t="s">
        <v>62</v>
      </c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 t="s">
        <v>703</v>
      </c>
      <c r="B370" s="21"/>
      <c r="C370" s="21"/>
      <c r="D370" s="19" t="s">
        <v>106</v>
      </c>
      <c r="E370" s="19" t="s">
        <v>684</v>
      </c>
      <c r="F370" s="19">
        <v>1.0</v>
      </c>
      <c r="G370" s="19" t="s">
        <v>23</v>
      </c>
      <c r="H370" s="19" t="s">
        <v>18</v>
      </c>
      <c r="I370" s="22" t="s">
        <v>704</v>
      </c>
      <c r="J370" s="22">
        <v>1.0</v>
      </c>
      <c r="K370" s="22">
        <v>2.0</v>
      </c>
      <c r="L370" s="22">
        <v>2.0</v>
      </c>
      <c r="M370" s="23" t="s">
        <v>62</v>
      </c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 t="s">
        <v>705</v>
      </c>
      <c r="B371" s="21"/>
      <c r="C371" s="21"/>
      <c r="D371" s="19" t="s">
        <v>106</v>
      </c>
      <c r="E371" s="19" t="s">
        <v>684</v>
      </c>
      <c r="F371" s="19">
        <v>1.0</v>
      </c>
      <c r="G371" s="19" t="s">
        <v>23</v>
      </c>
      <c r="H371" s="19" t="s">
        <v>18</v>
      </c>
      <c r="I371" s="22" t="s">
        <v>706</v>
      </c>
      <c r="J371" s="22">
        <v>1.0</v>
      </c>
      <c r="K371" s="22">
        <v>2.0</v>
      </c>
      <c r="L371" s="22">
        <v>2.0</v>
      </c>
      <c r="M371" s="23" t="s">
        <v>62</v>
      </c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 t="s">
        <v>707</v>
      </c>
      <c r="B372" s="21"/>
      <c r="C372" s="21"/>
      <c r="D372" s="19" t="s">
        <v>106</v>
      </c>
      <c r="E372" s="19" t="s">
        <v>684</v>
      </c>
      <c r="F372" s="19">
        <v>1.0</v>
      </c>
      <c r="G372" s="19" t="s">
        <v>23</v>
      </c>
      <c r="H372" s="19" t="s">
        <v>18</v>
      </c>
      <c r="I372" s="22" t="s">
        <v>708</v>
      </c>
      <c r="J372" s="22">
        <v>1.0</v>
      </c>
      <c r="K372" s="22">
        <v>2.0</v>
      </c>
      <c r="L372" s="22">
        <v>2.0</v>
      </c>
      <c r="M372" s="23" t="s">
        <v>62</v>
      </c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 t="s">
        <v>709</v>
      </c>
      <c r="B373" s="21"/>
      <c r="C373" s="21"/>
      <c r="D373" s="19" t="s">
        <v>93</v>
      </c>
      <c r="E373" s="19" t="s">
        <v>684</v>
      </c>
      <c r="F373" s="19">
        <v>1.0</v>
      </c>
      <c r="G373" s="19" t="s">
        <v>23</v>
      </c>
      <c r="H373" s="19" t="s">
        <v>18</v>
      </c>
      <c r="I373" s="22" t="s">
        <v>710</v>
      </c>
      <c r="J373" s="22">
        <v>1.0</v>
      </c>
      <c r="K373" s="22">
        <v>2.0</v>
      </c>
      <c r="L373" s="22">
        <v>2.0</v>
      </c>
      <c r="M373" s="23" t="s">
        <v>140</v>
      </c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 t="s">
        <v>711</v>
      </c>
      <c r="B374" s="21"/>
      <c r="C374" s="21"/>
      <c r="D374" s="19" t="s">
        <v>93</v>
      </c>
      <c r="E374" s="19" t="s">
        <v>684</v>
      </c>
      <c r="F374" s="19">
        <v>1.0</v>
      </c>
      <c r="G374" s="19" t="s">
        <v>23</v>
      </c>
      <c r="H374" s="19" t="s">
        <v>18</v>
      </c>
      <c r="I374" s="22" t="s">
        <v>712</v>
      </c>
      <c r="J374" s="22">
        <v>1.0</v>
      </c>
      <c r="K374" s="22">
        <v>2.0</v>
      </c>
      <c r="L374" s="22">
        <v>2.0</v>
      </c>
      <c r="M374" s="23" t="s">
        <v>140</v>
      </c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 t="s">
        <v>713</v>
      </c>
      <c r="B375" s="21"/>
      <c r="C375" s="21"/>
      <c r="D375" s="19" t="s">
        <v>93</v>
      </c>
      <c r="E375" s="19" t="s">
        <v>684</v>
      </c>
      <c r="F375" s="19">
        <v>1.0</v>
      </c>
      <c r="G375" s="19" t="s">
        <v>23</v>
      </c>
      <c r="H375" s="19" t="s">
        <v>18</v>
      </c>
      <c r="I375" s="22" t="s">
        <v>714</v>
      </c>
      <c r="J375" s="22">
        <v>1.0</v>
      </c>
      <c r="K375" s="22">
        <v>2.0</v>
      </c>
      <c r="L375" s="22">
        <v>2.0</v>
      </c>
      <c r="M375" s="23" t="s">
        <v>140</v>
      </c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 t="s">
        <v>715</v>
      </c>
      <c r="B376" s="21"/>
      <c r="C376" s="21"/>
      <c r="D376" s="19" t="s">
        <v>93</v>
      </c>
      <c r="E376" s="19" t="s">
        <v>684</v>
      </c>
      <c r="F376" s="19">
        <v>1.0</v>
      </c>
      <c r="G376" s="19" t="s">
        <v>23</v>
      </c>
      <c r="H376" s="19" t="s">
        <v>18</v>
      </c>
      <c r="I376" s="22" t="s">
        <v>716</v>
      </c>
      <c r="J376" s="22">
        <v>1.0</v>
      </c>
      <c r="K376" s="22">
        <v>2.0</v>
      </c>
      <c r="L376" s="22">
        <v>2.0</v>
      </c>
      <c r="M376" s="23" t="s">
        <v>140</v>
      </c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 t="s">
        <v>717</v>
      </c>
      <c r="B377" s="21"/>
      <c r="C377" s="21"/>
      <c r="D377" s="19" t="s">
        <v>693</v>
      </c>
      <c r="E377" s="19" t="s">
        <v>684</v>
      </c>
      <c r="F377" s="19">
        <v>1.0</v>
      </c>
      <c r="G377" s="19" t="s">
        <v>23</v>
      </c>
      <c r="H377" s="19" t="s">
        <v>18</v>
      </c>
      <c r="I377" s="22" t="s">
        <v>718</v>
      </c>
      <c r="J377" s="22">
        <v>1.0</v>
      </c>
      <c r="K377" s="22">
        <v>2.0</v>
      </c>
      <c r="L377" s="22">
        <v>2.0</v>
      </c>
      <c r="M377" s="23" t="s">
        <v>140</v>
      </c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 t="s">
        <v>719</v>
      </c>
      <c r="B378" s="21"/>
      <c r="C378" s="21"/>
      <c r="D378" s="19" t="s">
        <v>693</v>
      </c>
      <c r="E378" s="19" t="s">
        <v>684</v>
      </c>
      <c r="F378" s="19">
        <v>1.0</v>
      </c>
      <c r="G378" s="19" t="s">
        <v>23</v>
      </c>
      <c r="H378" s="19" t="s">
        <v>18</v>
      </c>
      <c r="I378" s="22" t="s">
        <v>720</v>
      </c>
      <c r="J378" s="22">
        <v>1.0</v>
      </c>
      <c r="K378" s="22">
        <v>2.0</v>
      </c>
      <c r="L378" s="22">
        <v>2.0</v>
      </c>
      <c r="M378" s="23" t="s">
        <v>140</v>
      </c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 t="s">
        <v>721</v>
      </c>
      <c r="B379" s="21"/>
      <c r="C379" s="21"/>
      <c r="D379" s="19" t="s">
        <v>693</v>
      </c>
      <c r="E379" s="19" t="s">
        <v>684</v>
      </c>
      <c r="F379" s="19">
        <v>1.0</v>
      </c>
      <c r="G379" s="19" t="s">
        <v>23</v>
      </c>
      <c r="H379" s="19" t="s">
        <v>18</v>
      </c>
      <c r="I379" s="22" t="s">
        <v>722</v>
      </c>
      <c r="J379" s="22">
        <v>1.0</v>
      </c>
      <c r="K379" s="22">
        <v>2.0</v>
      </c>
      <c r="L379" s="22">
        <v>2.0</v>
      </c>
      <c r="M379" s="23" t="s">
        <v>140</v>
      </c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 t="s">
        <v>723</v>
      </c>
      <c r="B380" s="21"/>
      <c r="C380" s="21"/>
      <c r="D380" s="19" t="s">
        <v>693</v>
      </c>
      <c r="E380" s="19" t="s">
        <v>684</v>
      </c>
      <c r="F380" s="19">
        <v>1.0</v>
      </c>
      <c r="G380" s="19" t="s">
        <v>23</v>
      </c>
      <c r="H380" s="19" t="s">
        <v>18</v>
      </c>
      <c r="I380" s="22" t="s">
        <v>724</v>
      </c>
      <c r="J380" s="22">
        <v>1.0</v>
      </c>
      <c r="K380" s="22">
        <v>2.0</v>
      </c>
      <c r="L380" s="22">
        <v>2.0</v>
      </c>
      <c r="M380" s="23" t="s">
        <v>140</v>
      </c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 t="s">
        <v>725</v>
      </c>
      <c r="B381" s="21"/>
      <c r="C381" s="21"/>
      <c r="D381" s="19" t="s">
        <v>106</v>
      </c>
      <c r="E381" s="19" t="s">
        <v>684</v>
      </c>
      <c r="F381" s="19">
        <v>1.0</v>
      </c>
      <c r="G381" s="19" t="s">
        <v>23</v>
      </c>
      <c r="H381" s="19" t="s">
        <v>18</v>
      </c>
      <c r="I381" s="22" t="s">
        <v>726</v>
      </c>
      <c r="J381" s="22">
        <v>1.0</v>
      </c>
      <c r="K381" s="22">
        <v>2.0</v>
      </c>
      <c r="L381" s="22">
        <v>2.0</v>
      </c>
      <c r="M381" s="23" t="s">
        <v>140</v>
      </c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 t="s">
        <v>727</v>
      </c>
      <c r="B382" s="21"/>
      <c r="C382" s="21"/>
      <c r="D382" s="19" t="s">
        <v>106</v>
      </c>
      <c r="E382" s="19" t="s">
        <v>684</v>
      </c>
      <c r="F382" s="19">
        <v>1.0</v>
      </c>
      <c r="G382" s="19" t="s">
        <v>23</v>
      </c>
      <c r="H382" s="19" t="s">
        <v>18</v>
      </c>
      <c r="I382" s="22" t="s">
        <v>728</v>
      </c>
      <c r="J382" s="22">
        <v>1.0</v>
      </c>
      <c r="K382" s="22">
        <v>2.0</v>
      </c>
      <c r="L382" s="22">
        <v>2.0</v>
      </c>
      <c r="M382" s="23" t="s">
        <v>140</v>
      </c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 t="s">
        <v>729</v>
      </c>
      <c r="B383" s="21"/>
      <c r="C383" s="21"/>
      <c r="D383" s="19" t="s">
        <v>106</v>
      </c>
      <c r="E383" s="19" t="s">
        <v>684</v>
      </c>
      <c r="F383" s="19">
        <v>1.0</v>
      </c>
      <c r="G383" s="19" t="s">
        <v>23</v>
      </c>
      <c r="H383" s="19" t="s">
        <v>18</v>
      </c>
      <c r="I383" s="22" t="s">
        <v>730</v>
      </c>
      <c r="J383" s="22">
        <v>1.0</v>
      </c>
      <c r="K383" s="22">
        <v>2.0</v>
      </c>
      <c r="L383" s="22">
        <v>2.0</v>
      </c>
      <c r="M383" s="23" t="s">
        <v>140</v>
      </c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 t="s">
        <v>731</v>
      </c>
      <c r="B384" s="21"/>
      <c r="C384" s="21"/>
      <c r="D384" s="19" t="s">
        <v>106</v>
      </c>
      <c r="E384" s="19" t="s">
        <v>684</v>
      </c>
      <c r="F384" s="19">
        <v>1.0</v>
      </c>
      <c r="G384" s="19" t="s">
        <v>23</v>
      </c>
      <c r="H384" s="19" t="s">
        <v>18</v>
      </c>
      <c r="I384" s="22" t="s">
        <v>732</v>
      </c>
      <c r="J384" s="22">
        <v>1.0</v>
      </c>
      <c r="K384" s="22">
        <v>2.0</v>
      </c>
      <c r="L384" s="22">
        <v>2.0</v>
      </c>
      <c r="M384" s="23" t="s">
        <v>140</v>
      </c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 t="s">
        <v>733</v>
      </c>
      <c r="B385" s="21"/>
      <c r="C385" s="21"/>
      <c r="D385" s="19" t="s">
        <v>93</v>
      </c>
      <c r="E385" s="19" t="s">
        <v>684</v>
      </c>
      <c r="F385" s="19">
        <v>1.0</v>
      </c>
      <c r="G385" s="19" t="s">
        <v>23</v>
      </c>
      <c r="H385" s="19" t="s">
        <v>18</v>
      </c>
      <c r="I385" s="22" t="s">
        <v>734</v>
      </c>
      <c r="J385" s="22">
        <v>1.0</v>
      </c>
      <c r="K385" s="22">
        <v>2.0</v>
      </c>
      <c r="L385" s="22">
        <v>2.0</v>
      </c>
      <c r="M385" s="23" t="s">
        <v>140</v>
      </c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 t="s">
        <v>735</v>
      </c>
      <c r="B386" s="21"/>
      <c r="C386" s="21"/>
      <c r="D386" s="19" t="s">
        <v>93</v>
      </c>
      <c r="E386" s="19" t="s">
        <v>684</v>
      </c>
      <c r="F386" s="19">
        <v>1.0</v>
      </c>
      <c r="G386" s="19" t="s">
        <v>23</v>
      </c>
      <c r="H386" s="19" t="s">
        <v>18</v>
      </c>
      <c r="I386" s="22" t="s">
        <v>736</v>
      </c>
      <c r="J386" s="22">
        <v>1.0</v>
      </c>
      <c r="K386" s="22">
        <v>2.0</v>
      </c>
      <c r="L386" s="22">
        <v>2.0</v>
      </c>
      <c r="M386" s="23" t="s">
        <v>140</v>
      </c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 t="s">
        <v>737</v>
      </c>
      <c r="B387" s="21"/>
      <c r="C387" s="21"/>
      <c r="D387" s="19" t="s">
        <v>93</v>
      </c>
      <c r="E387" s="19" t="s">
        <v>684</v>
      </c>
      <c r="F387" s="19">
        <v>1.0</v>
      </c>
      <c r="G387" s="19" t="s">
        <v>23</v>
      </c>
      <c r="H387" s="19" t="s">
        <v>18</v>
      </c>
      <c r="I387" s="22" t="s">
        <v>738</v>
      </c>
      <c r="J387" s="22">
        <v>1.0</v>
      </c>
      <c r="K387" s="22">
        <v>2.0</v>
      </c>
      <c r="L387" s="22">
        <v>2.0</v>
      </c>
      <c r="M387" s="23" t="s">
        <v>140</v>
      </c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 t="s">
        <v>739</v>
      </c>
      <c r="B388" s="21"/>
      <c r="C388" s="21"/>
      <c r="D388" s="19" t="s">
        <v>93</v>
      </c>
      <c r="E388" s="19" t="s">
        <v>684</v>
      </c>
      <c r="F388" s="19">
        <v>1.0</v>
      </c>
      <c r="G388" s="19" t="s">
        <v>23</v>
      </c>
      <c r="H388" s="19" t="s">
        <v>18</v>
      </c>
      <c r="I388" s="22" t="s">
        <v>740</v>
      </c>
      <c r="J388" s="22">
        <v>1.0</v>
      </c>
      <c r="K388" s="22">
        <v>2.0</v>
      </c>
      <c r="L388" s="22">
        <v>2.0</v>
      </c>
      <c r="M388" s="23" t="s">
        <v>140</v>
      </c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 t="s">
        <v>741</v>
      </c>
      <c r="B389" s="21"/>
      <c r="C389" s="21"/>
      <c r="D389" s="19" t="s">
        <v>693</v>
      </c>
      <c r="E389" s="19" t="s">
        <v>684</v>
      </c>
      <c r="F389" s="19">
        <v>1.0</v>
      </c>
      <c r="G389" s="19" t="s">
        <v>23</v>
      </c>
      <c r="H389" s="19" t="s">
        <v>18</v>
      </c>
      <c r="I389" s="22" t="s">
        <v>742</v>
      </c>
      <c r="J389" s="22">
        <v>1.0</v>
      </c>
      <c r="K389" s="22">
        <v>2.0</v>
      </c>
      <c r="L389" s="22">
        <v>2.0</v>
      </c>
      <c r="M389" s="23" t="s">
        <v>140</v>
      </c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 t="s">
        <v>743</v>
      </c>
      <c r="B390" s="21"/>
      <c r="C390" s="21"/>
      <c r="D390" s="19" t="s">
        <v>693</v>
      </c>
      <c r="E390" s="19" t="s">
        <v>684</v>
      </c>
      <c r="F390" s="19">
        <v>1.0</v>
      </c>
      <c r="G390" s="19" t="s">
        <v>23</v>
      </c>
      <c r="H390" s="19" t="s">
        <v>18</v>
      </c>
      <c r="I390" s="22" t="s">
        <v>744</v>
      </c>
      <c r="J390" s="22">
        <v>1.0</v>
      </c>
      <c r="K390" s="22">
        <v>2.0</v>
      </c>
      <c r="L390" s="22">
        <v>2.0</v>
      </c>
      <c r="M390" s="23" t="s">
        <v>140</v>
      </c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 t="s">
        <v>745</v>
      </c>
      <c r="B391" s="21"/>
      <c r="C391" s="21"/>
      <c r="D391" s="19" t="s">
        <v>693</v>
      </c>
      <c r="E391" s="19" t="s">
        <v>684</v>
      </c>
      <c r="F391" s="19">
        <v>1.0</v>
      </c>
      <c r="G391" s="19" t="s">
        <v>23</v>
      </c>
      <c r="H391" s="19" t="s">
        <v>18</v>
      </c>
      <c r="I391" s="22" t="s">
        <v>746</v>
      </c>
      <c r="J391" s="22">
        <v>1.0</v>
      </c>
      <c r="K391" s="22">
        <v>2.0</v>
      </c>
      <c r="L391" s="22">
        <v>2.0</v>
      </c>
      <c r="M391" s="23" t="s">
        <v>140</v>
      </c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 t="s">
        <v>747</v>
      </c>
      <c r="B392" s="21"/>
      <c r="C392" s="21"/>
      <c r="D392" s="19" t="s">
        <v>693</v>
      </c>
      <c r="E392" s="19" t="s">
        <v>684</v>
      </c>
      <c r="F392" s="19">
        <v>1.0</v>
      </c>
      <c r="G392" s="19" t="s">
        <v>23</v>
      </c>
      <c r="H392" s="19" t="s">
        <v>18</v>
      </c>
      <c r="I392" s="22" t="s">
        <v>748</v>
      </c>
      <c r="J392" s="22">
        <v>1.0</v>
      </c>
      <c r="K392" s="22">
        <v>2.0</v>
      </c>
      <c r="L392" s="22">
        <v>2.0</v>
      </c>
      <c r="M392" s="23" t="s">
        <v>140</v>
      </c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 t="s">
        <v>749</v>
      </c>
      <c r="B393" s="21"/>
      <c r="C393" s="21"/>
      <c r="D393" s="19" t="s">
        <v>106</v>
      </c>
      <c r="E393" s="19" t="s">
        <v>684</v>
      </c>
      <c r="F393" s="19">
        <v>1.0</v>
      </c>
      <c r="G393" s="19" t="s">
        <v>23</v>
      </c>
      <c r="H393" s="19" t="s">
        <v>18</v>
      </c>
      <c r="I393" s="22" t="s">
        <v>750</v>
      </c>
      <c r="J393" s="22">
        <v>1.0</v>
      </c>
      <c r="K393" s="22">
        <v>2.0</v>
      </c>
      <c r="L393" s="22">
        <v>2.0</v>
      </c>
      <c r="M393" s="23" t="s">
        <v>140</v>
      </c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 t="s">
        <v>751</v>
      </c>
      <c r="B394" s="21"/>
      <c r="C394" s="21"/>
      <c r="D394" s="19" t="s">
        <v>106</v>
      </c>
      <c r="E394" s="19" t="s">
        <v>684</v>
      </c>
      <c r="F394" s="19">
        <v>1.0</v>
      </c>
      <c r="G394" s="19" t="s">
        <v>23</v>
      </c>
      <c r="H394" s="19" t="s">
        <v>18</v>
      </c>
      <c r="I394" s="22" t="s">
        <v>752</v>
      </c>
      <c r="J394" s="22">
        <v>1.0</v>
      </c>
      <c r="K394" s="22">
        <v>2.0</v>
      </c>
      <c r="L394" s="22">
        <v>2.0</v>
      </c>
      <c r="M394" s="23" t="s">
        <v>140</v>
      </c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 t="s">
        <v>753</v>
      </c>
      <c r="B395" s="21"/>
      <c r="C395" s="21"/>
      <c r="D395" s="19" t="s">
        <v>106</v>
      </c>
      <c r="E395" s="19" t="s">
        <v>684</v>
      </c>
      <c r="F395" s="19">
        <v>1.0</v>
      </c>
      <c r="G395" s="19" t="s">
        <v>23</v>
      </c>
      <c r="H395" s="19" t="s">
        <v>18</v>
      </c>
      <c r="I395" s="22" t="s">
        <v>754</v>
      </c>
      <c r="J395" s="22">
        <v>1.0</v>
      </c>
      <c r="K395" s="22">
        <v>2.0</v>
      </c>
      <c r="L395" s="22">
        <v>2.0</v>
      </c>
      <c r="M395" s="23" t="s">
        <v>140</v>
      </c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 t="s">
        <v>755</v>
      </c>
      <c r="B396" s="21"/>
      <c r="C396" s="21"/>
      <c r="D396" s="19" t="s">
        <v>106</v>
      </c>
      <c r="E396" s="19" t="s">
        <v>684</v>
      </c>
      <c r="F396" s="19">
        <v>1.0</v>
      </c>
      <c r="G396" s="19" t="s">
        <v>23</v>
      </c>
      <c r="H396" s="19" t="s">
        <v>18</v>
      </c>
      <c r="I396" s="22" t="s">
        <v>756</v>
      </c>
      <c r="J396" s="22">
        <v>1.0</v>
      </c>
      <c r="K396" s="22">
        <v>2.0</v>
      </c>
      <c r="L396" s="22">
        <v>2.0</v>
      </c>
      <c r="M396" s="23" t="s">
        <v>140</v>
      </c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 t="s">
        <v>757</v>
      </c>
      <c r="B397" s="21"/>
      <c r="C397" s="21"/>
      <c r="D397" s="19" t="s">
        <v>93</v>
      </c>
      <c r="E397" s="19" t="s">
        <v>684</v>
      </c>
      <c r="F397" s="19">
        <v>1.0</v>
      </c>
      <c r="G397" s="19" t="s">
        <v>23</v>
      </c>
      <c r="H397" s="19" t="s">
        <v>18</v>
      </c>
      <c r="I397" s="22" t="s">
        <v>758</v>
      </c>
      <c r="J397" s="22">
        <v>1.0</v>
      </c>
      <c r="K397" s="22">
        <v>2.0</v>
      </c>
      <c r="L397" s="22">
        <v>2.0</v>
      </c>
      <c r="M397" s="23" t="s">
        <v>140</v>
      </c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 t="s">
        <v>759</v>
      </c>
      <c r="B398" s="21"/>
      <c r="C398" s="21"/>
      <c r="D398" s="19" t="s">
        <v>93</v>
      </c>
      <c r="E398" s="19" t="s">
        <v>684</v>
      </c>
      <c r="F398" s="19">
        <v>1.0</v>
      </c>
      <c r="G398" s="19" t="s">
        <v>23</v>
      </c>
      <c r="H398" s="19" t="s">
        <v>18</v>
      </c>
      <c r="I398" s="22" t="s">
        <v>760</v>
      </c>
      <c r="J398" s="22">
        <v>1.0</v>
      </c>
      <c r="K398" s="22">
        <v>2.0</v>
      </c>
      <c r="L398" s="22">
        <v>2.0</v>
      </c>
      <c r="M398" s="23" t="s">
        <v>140</v>
      </c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 t="s">
        <v>761</v>
      </c>
      <c r="B399" s="21"/>
      <c r="C399" s="21"/>
      <c r="D399" s="19" t="s">
        <v>93</v>
      </c>
      <c r="E399" s="19" t="s">
        <v>684</v>
      </c>
      <c r="F399" s="19">
        <v>1.0</v>
      </c>
      <c r="G399" s="19" t="s">
        <v>23</v>
      </c>
      <c r="H399" s="19" t="s">
        <v>18</v>
      </c>
      <c r="I399" s="22" t="s">
        <v>762</v>
      </c>
      <c r="J399" s="22">
        <v>1.0</v>
      </c>
      <c r="K399" s="22">
        <v>2.0</v>
      </c>
      <c r="L399" s="22">
        <v>2.0</v>
      </c>
      <c r="M399" s="23" t="s">
        <v>140</v>
      </c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 t="s">
        <v>763</v>
      </c>
      <c r="B400" s="21"/>
      <c r="C400" s="21"/>
      <c r="D400" s="19" t="s">
        <v>93</v>
      </c>
      <c r="E400" s="19" t="s">
        <v>684</v>
      </c>
      <c r="F400" s="19">
        <v>1.0</v>
      </c>
      <c r="G400" s="19" t="s">
        <v>23</v>
      </c>
      <c r="H400" s="19" t="s">
        <v>18</v>
      </c>
      <c r="I400" s="22" t="s">
        <v>764</v>
      </c>
      <c r="J400" s="22">
        <v>1.0</v>
      </c>
      <c r="K400" s="22">
        <v>2.0</v>
      </c>
      <c r="L400" s="22">
        <v>2.0</v>
      </c>
      <c r="M400" s="23" t="s">
        <v>140</v>
      </c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 t="s">
        <v>765</v>
      </c>
      <c r="B401" s="21"/>
      <c r="C401" s="21"/>
      <c r="D401" s="19" t="s">
        <v>693</v>
      </c>
      <c r="E401" s="19" t="s">
        <v>684</v>
      </c>
      <c r="F401" s="19">
        <v>1.0</v>
      </c>
      <c r="G401" s="19" t="s">
        <v>23</v>
      </c>
      <c r="H401" s="19" t="s">
        <v>18</v>
      </c>
      <c r="I401" s="22" t="s">
        <v>766</v>
      </c>
      <c r="J401" s="22">
        <v>1.0</v>
      </c>
      <c r="K401" s="22">
        <v>2.0</v>
      </c>
      <c r="L401" s="22">
        <v>2.0</v>
      </c>
      <c r="M401" s="23" t="s">
        <v>140</v>
      </c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 t="s">
        <v>767</v>
      </c>
      <c r="B402" s="21"/>
      <c r="C402" s="21"/>
      <c r="D402" s="19" t="s">
        <v>693</v>
      </c>
      <c r="E402" s="19" t="s">
        <v>684</v>
      </c>
      <c r="F402" s="19">
        <v>1.0</v>
      </c>
      <c r="G402" s="19" t="s">
        <v>23</v>
      </c>
      <c r="H402" s="19" t="s">
        <v>18</v>
      </c>
      <c r="I402" s="22" t="s">
        <v>768</v>
      </c>
      <c r="J402" s="22">
        <v>1.0</v>
      </c>
      <c r="K402" s="22">
        <v>2.0</v>
      </c>
      <c r="L402" s="22">
        <v>2.0</v>
      </c>
      <c r="M402" s="23" t="s">
        <v>140</v>
      </c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 t="s">
        <v>769</v>
      </c>
      <c r="B403" s="21"/>
      <c r="C403" s="21"/>
      <c r="D403" s="19" t="s">
        <v>693</v>
      </c>
      <c r="E403" s="19" t="s">
        <v>684</v>
      </c>
      <c r="F403" s="19">
        <v>1.0</v>
      </c>
      <c r="G403" s="19" t="s">
        <v>23</v>
      </c>
      <c r="H403" s="19" t="s">
        <v>18</v>
      </c>
      <c r="I403" s="22" t="s">
        <v>770</v>
      </c>
      <c r="J403" s="22">
        <v>1.0</v>
      </c>
      <c r="K403" s="22">
        <v>2.0</v>
      </c>
      <c r="L403" s="22">
        <v>2.0</v>
      </c>
      <c r="M403" s="23" t="s">
        <v>140</v>
      </c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 t="s">
        <v>771</v>
      </c>
      <c r="B404" s="21"/>
      <c r="C404" s="21"/>
      <c r="D404" s="19" t="s">
        <v>693</v>
      </c>
      <c r="E404" s="19" t="s">
        <v>684</v>
      </c>
      <c r="F404" s="19">
        <v>1.0</v>
      </c>
      <c r="G404" s="19" t="s">
        <v>23</v>
      </c>
      <c r="H404" s="19" t="s">
        <v>18</v>
      </c>
      <c r="I404" s="22" t="s">
        <v>772</v>
      </c>
      <c r="J404" s="22">
        <v>1.0</v>
      </c>
      <c r="K404" s="22">
        <v>2.0</v>
      </c>
      <c r="L404" s="22">
        <v>2.0</v>
      </c>
      <c r="M404" s="23" t="s">
        <v>140</v>
      </c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 t="s">
        <v>773</v>
      </c>
      <c r="B405" s="21"/>
      <c r="C405" s="21"/>
      <c r="D405" s="19" t="s">
        <v>106</v>
      </c>
      <c r="E405" s="19" t="s">
        <v>684</v>
      </c>
      <c r="F405" s="19">
        <v>1.0</v>
      </c>
      <c r="G405" s="19" t="s">
        <v>23</v>
      </c>
      <c r="H405" s="19" t="s">
        <v>18</v>
      </c>
      <c r="I405" s="22" t="s">
        <v>774</v>
      </c>
      <c r="J405" s="22">
        <v>1.0</v>
      </c>
      <c r="K405" s="22">
        <v>2.0</v>
      </c>
      <c r="L405" s="22">
        <v>2.0</v>
      </c>
      <c r="M405" s="23" t="s">
        <v>140</v>
      </c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 t="s">
        <v>775</v>
      </c>
      <c r="B406" s="21"/>
      <c r="C406" s="21"/>
      <c r="D406" s="19" t="s">
        <v>106</v>
      </c>
      <c r="E406" s="19" t="s">
        <v>684</v>
      </c>
      <c r="F406" s="19">
        <v>1.0</v>
      </c>
      <c r="G406" s="19" t="s">
        <v>23</v>
      </c>
      <c r="H406" s="19" t="s">
        <v>18</v>
      </c>
      <c r="I406" s="22" t="s">
        <v>776</v>
      </c>
      <c r="J406" s="22">
        <v>1.0</v>
      </c>
      <c r="K406" s="22">
        <v>2.0</v>
      </c>
      <c r="L406" s="22">
        <v>2.0</v>
      </c>
      <c r="M406" s="23" t="s">
        <v>140</v>
      </c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 t="s">
        <v>777</v>
      </c>
      <c r="B407" s="21"/>
      <c r="C407" s="21"/>
      <c r="D407" s="19" t="s">
        <v>106</v>
      </c>
      <c r="E407" s="19" t="s">
        <v>684</v>
      </c>
      <c r="F407" s="19">
        <v>1.0</v>
      </c>
      <c r="G407" s="19" t="s">
        <v>23</v>
      </c>
      <c r="H407" s="19" t="s">
        <v>18</v>
      </c>
      <c r="I407" s="22" t="s">
        <v>778</v>
      </c>
      <c r="J407" s="22">
        <v>1.0</v>
      </c>
      <c r="K407" s="22">
        <v>2.0</v>
      </c>
      <c r="L407" s="22">
        <v>2.0</v>
      </c>
      <c r="M407" s="23" t="s">
        <v>140</v>
      </c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 t="s">
        <v>779</v>
      </c>
      <c r="B408" s="21"/>
      <c r="C408" s="21"/>
      <c r="D408" s="19" t="s">
        <v>106</v>
      </c>
      <c r="E408" s="19" t="s">
        <v>684</v>
      </c>
      <c r="F408" s="19">
        <v>1.0</v>
      </c>
      <c r="G408" s="19" t="s">
        <v>23</v>
      </c>
      <c r="H408" s="19" t="s">
        <v>18</v>
      </c>
      <c r="I408" s="22" t="s">
        <v>780</v>
      </c>
      <c r="J408" s="22">
        <v>1.0</v>
      </c>
      <c r="K408" s="22">
        <v>2.0</v>
      </c>
      <c r="L408" s="22">
        <v>2.0</v>
      </c>
      <c r="M408" s="23" t="s">
        <v>140</v>
      </c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41"/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3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2"/>
      <c r="C410" s="42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3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2"/>
      <c r="C411" s="42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3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2"/>
      <c r="C412" s="42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3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2"/>
      <c r="C413" s="42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3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2"/>
      <c r="C414" s="42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3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2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3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2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3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2"/>
      <c r="C417" s="42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3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2"/>
      <c r="C418" s="42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3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2"/>
      <c r="C419" s="42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3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2"/>
      <c r="C420" s="42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3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2"/>
      <c r="C421" s="42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3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2"/>
      <c r="C422" s="42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3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2"/>
      <c r="C423" s="42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3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2"/>
      <c r="C424" s="42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3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2"/>
      <c r="C425" s="42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3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2"/>
      <c r="C426" s="42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3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2"/>
      <c r="C427" s="42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3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2"/>
      <c r="C428" s="42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3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2"/>
      <c r="C429" s="42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3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2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3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2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3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2"/>
      <c r="C433" s="42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3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2"/>
      <c r="C434" s="42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3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2"/>
      <c r="C435" s="42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3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2"/>
      <c r="C436" s="42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3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2"/>
      <c r="C437" s="42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3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2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3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2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3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2"/>
      <c r="C440" s="42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3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2"/>
      <c r="C441" s="42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3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2"/>
      <c r="C442" s="42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3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2"/>
      <c r="C443" s="42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3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2"/>
      <c r="C444" s="42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3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2"/>
      <c r="C445" s="42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3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2"/>
      <c r="C446" s="42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3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2"/>
      <c r="C447" s="42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3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2"/>
      <c r="C448" s="42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3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2"/>
      <c r="C449" s="42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3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2"/>
      <c r="C450" s="42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3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2"/>
      <c r="C451" s="42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2"/>
      <c r="C452" s="42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3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2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3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2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3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3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2"/>
      <c r="C456" s="42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3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2"/>
      <c r="C457" s="42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3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2"/>
      <c r="C458" s="42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3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2"/>
      <c r="C459" s="42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3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2"/>
      <c r="C460" s="42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3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2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3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2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3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2"/>
      <c r="C463" s="42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3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2"/>
      <c r="C464" s="42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3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2"/>
      <c r="C465" s="42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3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2"/>
      <c r="C466" s="42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3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2"/>
      <c r="C467" s="42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3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2"/>
      <c r="C468" s="42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3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2"/>
      <c r="C469" s="42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3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2"/>
      <c r="C470" s="42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3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2"/>
      <c r="C471" s="42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3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2"/>
      <c r="C472" s="42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3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2"/>
      <c r="C473" s="42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3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2"/>
      <c r="C474" s="42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3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2"/>
      <c r="C475" s="42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3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2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3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2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3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3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2"/>
      <c r="C479" s="42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3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2"/>
      <c r="C480" s="42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3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2"/>
      <c r="C481" s="42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3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2"/>
      <c r="C482" s="42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3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2"/>
      <c r="C483" s="42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3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2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3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2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3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2"/>
      <c r="C486" s="42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3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2"/>
      <c r="C487" s="42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3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2"/>
      <c r="C488" s="42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3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2"/>
      <c r="C489" s="42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3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2"/>
      <c r="C490" s="42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3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2"/>
      <c r="C491" s="42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3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2"/>
      <c r="C492" s="42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3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2"/>
      <c r="C493" s="42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3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2"/>
      <c r="C494" s="42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3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2"/>
      <c r="C495" s="42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3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2"/>
      <c r="C496" s="42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3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2"/>
      <c r="C497" s="42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3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2"/>
      <c r="C498" s="42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3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2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3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2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3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3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2"/>
      <c r="C502" s="42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3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2"/>
      <c r="C503" s="42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3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1"/>
      <c r="B504" s="42"/>
      <c r="C504" s="42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3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1"/>
      <c r="B505" s="42"/>
      <c r="C505" s="42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3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1"/>
      <c r="B506" s="42"/>
      <c r="C506" s="42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3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1"/>
      <c r="B507" s="42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3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1"/>
      <c r="B508" s="42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3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1"/>
      <c r="B509" s="42"/>
      <c r="C509" s="42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3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1"/>
      <c r="B510" s="42"/>
      <c r="C510" s="42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3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1"/>
      <c r="B511" s="42"/>
      <c r="C511" s="42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3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1"/>
      <c r="B512" s="42"/>
      <c r="C512" s="42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3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1"/>
      <c r="B513" s="42"/>
      <c r="C513" s="42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3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1"/>
      <c r="B514" s="42"/>
      <c r="C514" s="42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3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1"/>
      <c r="B515" s="42"/>
      <c r="C515" s="42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3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1"/>
      <c r="B516" s="42"/>
      <c r="C516" s="42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3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1"/>
      <c r="B517" s="42"/>
      <c r="C517" s="42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3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1"/>
      <c r="B518" s="42"/>
      <c r="C518" s="42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3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1"/>
      <c r="B519" s="42"/>
      <c r="C519" s="42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3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1"/>
      <c r="B520" s="42"/>
      <c r="C520" s="42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3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1"/>
      <c r="B521" s="42"/>
      <c r="C521" s="42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3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1"/>
      <c r="B522" s="42"/>
      <c r="C522" s="42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3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1"/>
      <c r="B523" s="42"/>
      <c r="C523" s="42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1"/>
      <c r="B524" s="42"/>
      <c r="C524" s="42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3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1"/>
      <c r="B525" s="42"/>
      <c r="C525" s="42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3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1"/>
      <c r="B526" s="42"/>
      <c r="C526" s="42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3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1"/>
      <c r="B527" s="42"/>
      <c r="C527" s="42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3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1"/>
      <c r="B528" s="42"/>
      <c r="C528" s="42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3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1"/>
      <c r="B529" s="42"/>
      <c r="C529" s="42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3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1"/>
      <c r="B530" s="42"/>
      <c r="C530" s="42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3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1"/>
      <c r="B531" s="42"/>
      <c r="C531" s="42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3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1"/>
      <c r="B532" s="42"/>
      <c r="C532" s="42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3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1"/>
      <c r="B533" s="42"/>
      <c r="C533" s="42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3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1"/>
      <c r="B534" s="42"/>
      <c r="C534" s="42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3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1"/>
      <c r="B535" s="42"/>
      <c r="C535" s="42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3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1"/>
      <c r="B536" s="42"/>
      <c r="C536" s="42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3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1"/>
      <c r="B537" s="42"/>
      <c r="C537" s="42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3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1"/>
      <c r="B538" s="42"/>
      <c r="C538" s="42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3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1"/>
      <c r="B539" s="42"/>
      <c r="C539" s="42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3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1"/>
      <c r="B540" s="42"/>
      <c r="C540" s="42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3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1"/>
      <c r="B541" s="42"/>
      <c r="C541" s="42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3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1"/>
      <c r="B542" s="42"/>
      <c r="C542" s="42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3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1"/>
      <c r="B543" s="42"/>
      <c r="C543" s="42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3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1"/>
      <c r="B544" s="42"/>
      <c r="C544" s="42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3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1"/>
      <c r="B545" s="42"/>
      <c r="C545" s="42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3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1"/>
      <c r="B546" s="42"/>
      <c r="C546" s="42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3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1"/>
      <c r="B547" s="42"/>
      <c r="C547" s="42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3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1"/>
      <c r="B548" s="42"/>
      <c r="C548" s="42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3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1"/>
      <c r="B549" s="42"/>
      <c r="C549" s="42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3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1"/>
      <c r="B550" s="42"/>
      <c r="C550" s="42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3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1"/>
      <c r="B551" s="42"/>
      <c r="C551" s="42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3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1"/>
      <c r="B552" s="42"/>
      <c r="C552" s="42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3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1"/>
      <c r="B553" s="42"/>
      <c r="C553" s="42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3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1"/>
      <c r="B554" s="42"/>
      <c r="C554" s="42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3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1"/>
      <c r="B555" s="42"/>
      <c r="C555" s="42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3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1"/>
      <c r="B556" s="42"/>
      <c r="C556" s="42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3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1"/>
      <c r="B557" s="42"/>
      <c r="C557" s="42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3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1"/>
      <c r="B558" s="42"/>
      <c r="C558" s="42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3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1"/>
      <c r="B559" s="42"/>
      <c r="C559" s="42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3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1"/>
      <c r="B560" s="42"/>
      <c r="C560" s="42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3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1"/>
      <c r="B561" s="42"/>
      <c r="C561" s="42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3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1"/>
      <c r="B562" s="42"/>
      <c r="C562" s="42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3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1"/>
      <c r="B563" s="42"/>
      <c r="C563" s="42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3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1"/>
      <c r="B564" s="42"/>
      <c r="C564" s="42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3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1"/>
      <c r="B565" s="42"/>
      <c r="C565" s="42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3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1"/>
      <c r="B566" s="42"/>
      <c r="C566" s="42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3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1"/>
      <c r="B567" s="42"/>
      <c r="C567" s="42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3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1"/>
      <c r="B568" s="42"/>
      <c r="C568" s="42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3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1"/>
      <c r="B569" s="42"/>
      <c r="C569" s="42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3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1"/>
      <c r="B570" s="42"/>
      <c r="C570" s="42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3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1"/>
      <c r="B571" s="42"/>
      <c r="C571" s="42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3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1"/>
      <c r="B572" s="42"/>
      <c r="C572" s="42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3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1"/>
      <c r="B573" s="42"/>
      <c r="C573" s="42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3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1"/>
      <c r="B574" s="42"/>
      <c r="C574" s="42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3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1"/>
      <c r="B575" s="42"/>
      <c r="C575" s="42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3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1"/>
      <c r="B576" s="42"/>
      <c r="C576" s="42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3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1"/>
      <c r="B577" s="42"/>
      <c r="C577" s="42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3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1"/>
      <c r="B578" s="42"/>
      <c r="C578" s="42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3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1"/>
      <c r="B579" s="42"/>
      <c r="C579" s="42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3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1"/>
      <c r="B580" s="42"/>
      <c r="C580" s="42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3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1"/>
      <c r="B581" s="42"/>
      <c r="C581" s="42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3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1"/>
      <c r="B582" s="42"/>
      <c r="C582" s="42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3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1"/>
      <c r="B583" s="42"/>
      <c r="C583" s="42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3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1"/>
      <c r="B584" s="42"/>
      <c r="C584" s="42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3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1"/>
      <c r="B585" s="42"/>
      <c r="C585" s="42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3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1"/>
      <c r="B586" s="42"/>
      <c r="C586" s="42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3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1"/>
      <c r="B587" s="42"/>
      <c r="C587" s="42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3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1"/>
      <c r="B588" s="42"/>
      <c r="C588" s="42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3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1"/>
      <c r="B589" s="42"/>
      <c r="C589" s="42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3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1"/>
      <c r="B590" s="42"/>
      <c r="C590" s="42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3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1"/>
      <c r="B591" s="42"/>
      <c r="C591" s="42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3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1"/>
      <c r="B592" s="42"/>
      <c r="C592" s="42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3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1"/>
      <c r="B593" s="42"/>
      <c r="C593" s="42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3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1"/>
      <c r="B594" s="42"/>
      <c r="C594" s="42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3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1"/>
      <c r="B595" s="42"/>
      <c r="C595" s="42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3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1"/>
      <c r="B596" s="42"/>
      <c r="C596" s="42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3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1"/>
      <c r="B597" s="42"/>
      <c r="C597" s="42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3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1"/>
      <c r="B598" s="42"/>
      <c r="C598" s="42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3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1"/>
      <c r="B599" s="42"/>
      <c r="C599" s="42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3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1"/>
      <c r="B600" s="42"/>
      <c r="C600" s="42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3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1"/>
      <c r="B601" s="42"/>
      <c r="C601" s="42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3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1"/>
      <c r="B602" s="42"/>
      <c r="C602" s="42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3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1"/>
      <c r="B603" s="42"/>
      <c r="C603" s="42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3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1"/>
      <c r="B604" s="42"/>
      <c r="C604" s="42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3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1"/>
      <c r="B605" s="42"/>
      <c r="C605" s="42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3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1"/>
      <c r="B606" s="42"/>
      <c r="C606" s="42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3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1"/>
      <c r="B607" s="42"/>
      <c r="C607" s="42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3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1"/>
      <c r="B608" s="42"/>
      <c r="C608" s="42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3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1"/>
      <c r="B609" s="42"/>
      <c r="C609" s="42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3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1"/>
      <c r="B610" s="42"/>
      <c r="C610" s="42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3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1"/>
      <c r="B611" s="42"/>
      <c r="C611" s="42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3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1"/>
      <c r="B612" s="42"/>
      <c r="C612" s="42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3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1"/>
      <c r="B613" s="42"/>
      <c r="C613" s="42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3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2"/>
      <c r="C614" s="42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3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2"/>
      <c r="C615" s="42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3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2"/>
      <c r="C616" s="42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3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2"/>
      <c r="C617" s="42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3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2"/>
      <c r="C618" s="42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3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2"/>
      <c r="C619" s="42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3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2"/>
      <c r="C620" s="42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3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2"/>
      <c r="C621" s="42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3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2"/>
      <c r="C622" s="42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3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2"/>
      <c r="C623" s="42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3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2"/>
      <c r="C624" s="42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3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2"/>
      <c r="C625" s="42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3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2"/>
      <c r="C626" s="42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3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2"/>
      <c r="C627" s="42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3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2"/>
      <c r="C628" s="42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3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2"/>
      <c r="C629" s="42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3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2"/>
      <c r="C630" s="42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3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2"/>
      <c r="C631" s="42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3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2"/>
      <c r="C632" s="42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3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2"/>
      <c r="C633" s="42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3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2"/>
      <c r="C634" s="42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3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2"/>
      <c r="C635" s="42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3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2"/>
      <c r="C636" s="42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3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2"/>
      <c r="C637" s="42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3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2"/>
      <c r="C638" s="42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3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2"/>
      <c r="C639" s="42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3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2"/>
      <c r="C640" s="42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3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2"/>
      <c r="C641" s="42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3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2"/>
      <c r="C642" s="42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3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2"/>
      <c r="C643" s="42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3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2"/>
      <c r="C644" s="42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3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2"/>
      <c r="C645" s="42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3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2"/>
      <c r="C646" s="42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3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2"/>
      <c r="C647" s="42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3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2"/>
      <c r="C648" s="42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3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2"/>
      <c r="C649" s="42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3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2"/>
      <c r="C650" s="42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3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2"/>
      <c r="C651" s="42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3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2"/>
      <c r="C652" s="42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3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2"/>
      <c r="C653" s="42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3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2"/>
      <c r="C654" s="42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3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2"/>
      <c r="C655" s="42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3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2"/>
      <c r="C656" s="42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3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2"/>
      <c r="C657" s="42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3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2"/>
      <c r="C658" s="42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3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2"/>
      <c r="C659" s="42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3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2"/>
      <c r="C660" s="42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3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2"/>
      <c r="C661" s="42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3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2"/>
      <c r="C662" s="42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3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2"/>
      <c r="C663" s="42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3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2"/>
      <c r="C664" s="42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3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2"/>
      <c r="C665" s="42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3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2"/>
      <c r="C666" s="42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3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2"/>
      <c r="C667" s="42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3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2"/>
      <c r="C668" s="42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3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2"/>
      <c r="C669" s="42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3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2"/>
      <c r="C670" s="42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3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2"/>
      <c r="C671" s="42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3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2"/>
      <c r="C672" s="42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3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2"/>
      <c r="C673" s="42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3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2"/>
      <c r="C674" s="42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3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2"/>
      <c r="C675" s="42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3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2"/>
      <c r="C676" s="42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3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2"/>
      <c r="C677" s="42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3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2"/>
      <c r="C678" s="42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3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2"/>
      <c r="C679" s="42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3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2"/>
      <c r="C680" s="42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3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2"/>
      <c r="C681" s="42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3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2"/>
      <c r="C682" s="42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3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2"/>
      <c r="C683" s="42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3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2"/>
      <c r="C684" s="42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3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2"/>
      <c r="C685" s="42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3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2"/>
      <c r="C686" s="42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3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2"/>
      <c r="C687" s="42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3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2"/>
      <c r="C688" s="42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3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2"/>
      <c r="C689" s="42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3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2"/>
      <c r="C690" s="42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3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2"/>
      <c r="C691" s="42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3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2"/>
      <c r="C692" s="42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3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2"/>
      <c r="C693" s="42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3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2"/>
      <c r="C694" s="42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3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2"/>
      <c r="C695" s="42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3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2"/>
      <c r="C696" s="42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3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2"/>
      <c r="C697" s="42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3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2"/>
      <c r="C698" s="42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3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2"/>
      <c r="C699" s="42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3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2"/>
      <c r="C700" s="42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3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2"/>
      <c r="C701" s="42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3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2"/>
      <c r="C702" s="42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3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2"/>
      <c r="C703" s="42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3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2"/>
      <c r="C704" s="42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3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2"/>
      <c r="C705" s="42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3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2"/>
      <c r="C706" s="42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3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2"/>
      <c r="C707" s="42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3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2"/>
      <c r="C708" s="42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3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2"/>
      <c r="C709" s="42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3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2"/>
      <c r="C710" s="42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3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2"/>
      <c r="C711" s="42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3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2"/>
      <c r="C712" s="42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3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2"/>
      <c r="C713" s="42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3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2"/>
      <c r="C714" s="42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3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2"/>
      <c r="C715" s="42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3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2"/>
      <c r="C716" s="42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3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2"/>
      <c r="C717" s="42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3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2"/>
      <c r="C718" s="42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3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2"/>
      <c r="C719" s="42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3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2"/>
      <c r="C720" s="42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3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2"/>
      <c r="C721" s="42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3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2"/>
      <c r="C722" s="42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3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2"/>
      <c r="C723" s="42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3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2"/>
      <c r="C724" s="42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3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2"/>
      <c r="C725" s="42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3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2"/>
      <c r="C726" s="42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3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2"/>
      <c r="C727" s="42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3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2"/>
      <c r="C728" s="42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3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2"/>
      <c r="C729" s="42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3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2"/>
      <c r="C730" s="42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3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2"/>
      <c r="C731" s="42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3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2"/>
      <c r="C732" s="42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3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2"/>
      <c r="C733" s="42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3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2"/>
      <c r="C734" s="42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3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2"/>
      <c r="C735" s="42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3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2"/>
      <c r="C736" s="42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3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2"/>
      <c r="C737" s="42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3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2"/>
      <c r="C738" s="42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3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2"/>
      <c r="C739" s="42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3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2"/>
      <c r="C740" s="42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3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2"/>
      <c r="C741" s="42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3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2"/>
      <c r="C742" s="42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3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2"/>
      <c r="C743" s="42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3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2"/>
      <c r="C744" s="42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3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2"/>
      <c r="C745" s="42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3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2"/>
      <c r="C746" s="42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3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2"/>
      <c r="C747" s="42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3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2"/>
      <c r="C748" s="42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3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2"/>
      <c r="C749" s="42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3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2"/>
      <c r="C750" s="42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3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2"/>
      <c r="C751" s="42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3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2"/>
      <c r="C752" s="42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3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2"/>
      <c r="C753" s="42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3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2"/>
      <c r="C754" s="42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3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2"/>
      <c r="C755" s="42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3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2"/>
      <c r="C756" s="42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3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2"/>
      <c r="C757" s="42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3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2"/>
      <c r="C758" s="42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3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2"/>
      <c r="C759" s="42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3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2"/>
      <c r="C760" s="42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3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2"/>
      <c r="C761" s="42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3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2"/>
      <c r="C762" s="42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3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2"/>
      <c r="C763" s="42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3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2"/>
      <c r="C764" s="42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3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2"/>
      <c r="C765" s="42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3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2"/>
      <c r="C766" s="42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3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2"/>
      <c r="C767" s="42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3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2"/>
      <c r="C768" s="42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3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2"/>
      <c r="C769" s="42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3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2"/>
      <c r="C770" s="42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3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2"/>
      <c r="C771" s="42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3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2"/>
      <c r="C772" s="42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3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2"/>
      <c r="C773" s="42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3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2"/>
      <c r="C774" s="42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3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2"/>
      <c r="C775" s="42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3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2"/>
      <c r="C776" s="42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3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2"/>
      <c r="C777" s="42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3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2"/>
      <c r="C778" s="42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2"/>
      <c r="C779" s="42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3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2"/>
      <c r="C780" s="42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3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2"/>
      <c r="C781" s="42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3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2"/>
      <c r="C782" s="42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3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2"/>
      <c r="C783" s="42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3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2"/>
      <c r="C784" s="42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3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2"/>
      <c r="C785" s="42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3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2"/>
      <c r="C786" s="42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3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2"/>
      <c r="C787" s="42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3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2"/>
      <c r="C788" s="42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3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2"/>
      <c r="C789" s="42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3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2"/>
      <c r="C790" s="42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3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2"/>
      <c r="C791" s="42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3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2"/>
      <c r="C792" s="42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3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2"/>
      <c r="C793" s="42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3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2"/>
      <c r="C794" s="42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3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2"/>
      <c r="C795" s="42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3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2"/>
      <c r="C796" s="42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3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2"/>
      <c r="C797" s="42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3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2"/>
      <c r="C798" s="42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3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2"/>
      <c r="C799" s="42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3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2"/>
      <c r="C800" s="42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3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2"/>
      <c r="C801" s="42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3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2"/>
      <c r="C802" s="42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3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2"/>
      <c r="C803" s="42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3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2"/>
      <c r="C804" s="42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3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2"/>
      <c r="C805" s="42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3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2"/>
      <c r="C806" s="42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3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2"/>
      <c r="C807" s="42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3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2"/>
      <c r="C808" s="42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3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2"/>
      <c r="C809" s="42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3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2"/>
      <c r="C810" s="42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3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2"/>
      <c r="C811" s="42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3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2"/>
      <c r="C812" s="42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3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2"/>
      <c r="C813" s="42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3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1"/>
      <c r="B814" s="42"/>
      <c r="C814" s="42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3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1"/>
      <c r="B815" s="42"/>
      <c r="C815" s="42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3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1"/>
      <c r="B816" s="42"/>
      <c r="C816" s="42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3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1"/>
      <c r="B817" s="42"/>
      <c r="C817" s="42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3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1"/>
      <c r="B818" s="42"/>
      <c r="C818" s="42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3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1"/>
      <c r="B819" s="42"/>
      <c r="C819" s="42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3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1"/>
      <c r="B820" s="42"/>
      <c r="C820" s="42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3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1"/>
      <c r="B821" s="42"/>
      <c r="C821" s="42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3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1"/>
      <c r="B822" s="42"/>
      <c r="C822" s="42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3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1"/>
      <c r="B823" s="42"/>
      <c r="C823" s="42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3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1"/>
      <c r="B824" s="42"/>
      <c r="C824" s="42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3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1"/>
      <c r="B825" s="42"/>
      <c r="C825" s="42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3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1"/>
      <c r="B826" s="42"/>
      <c r="C826" s="42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3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1"/>
      <c r="B827" s="42"/>
      <c r="C827" s="42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3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1"/>
      <c r="B828" s="42"/>
      <c r="C828" s="42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3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1"/>
      <c r="B829" s="42"/>
      <c r="C829" s="42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3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1"/>
      <c r="B830" s="42"/>
      <c r="C830" s="42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3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1"/>
      <c r="B831" s="42"/>
      <c r="C831" s="42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3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1"/>
      <c r="B832" s="42"/>
      <c r="C832" s="42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3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1"/>
      <c r="B833" s="42"/>
      <c r="C833" s="42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3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1"/>
      <c r="B834" s="42"/>
      <c r="C834" s="42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3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1"/>
      <c r="B835" s="42"/>
      <c r="C835" s="42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3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1"/>
      <c r="B836" s="42"/>
      <c r="C836" s="42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3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1"/>
      <c r="B837" s="42"/>
      <c r="C837" s="42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3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1"/>
      <c r="B838" s="42"/>
      <c r="C838" s="42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3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1"/>
      <c r="B839" s="42"/>
      <c r="C839" s="42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3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1"/>
      <c r="B840" s="42"/>
      <c r="C840" s="42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3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1"/>
      <c r="B841" s="42"/>
      <c r="C841" s="42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3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1"/>
      <c r="B842" s="42"/>
      <c r="C842" s="42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3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1"/>
      <c r="B843" s="42"/>
      <c r="C843" s="42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3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1"/>
      <c r="B844" s="42"/>
      <c r="C844" s="42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3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1"/>
      <c r="B845" s="42"/>
      <c r="C845" s="42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3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1"/>
      <c r="B846" s="42"/>
      <c r="C846" s="42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3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1"/>
      <c r="B847" s="42"/>
      <c r="C847" s="42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3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1"/>
      <c r="B848" s="42"/>
      <c r="C848" s="42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3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1"/>
      <c r="B849" s="42"/>
      <c r="C849" s="42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3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1"/>
      <c r="B850" s="42"/>
      <c r="C850" s="42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3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1"/>
      <c r="B851" s="42"/>
      <c r="C851" s="42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3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1"/>
      <c r="B852" s="42"/>
      <c r="C852" s="42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3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1"/>
      <c r="B853" s="42"/>
      <c r="C853" s="42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3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1"/>
      <c r="B854" s="42"/>
      <c r="C854" s="42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3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1"/>
      <c r="B855" s="42"/>
      <c r="C855" s="42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3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1"/>
      <c r="B856" s="42"/>
      <c r="C856" s="42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3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1"/>
      <c r="B857" s="42"/>
      <c r="C857" s="42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3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1"/>
      <c r="B858" s="42"/>
      <c r="C858" s="42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3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1"/>
      <c r="B859" s="42"/>
      <c r="C859" s="42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3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1"/>
      <c r="B860" s="42"/>
      <c r="C860" s="42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3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1"/>
      <c r="B861" s="42"/>
      <c r="C861" s="42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3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1"/>
      <c r="B862" s="42"/>
      <c r="C862" s="42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3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1"/>
      <c r="B863" s="42"/>
      <c r="C863" s="42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3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1"/>
      <c r="B864" s="42"/>
      <c r="C864" s="42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3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1"/>
      <c r="B865" s="42"/>
      <c r="C865" s="42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3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1"/>
      <c r="B866" s="42"/>
      <c r="C866" s="42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3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1"/>
      <c r="B867" s="42"/>
      <c r="C867" s="42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3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1"/>
      <c r="B868" s="42"/>
      <c r="C868" s="42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3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1"/>
      <c r="B869" s="42"/>
      <c r="C869" s="42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3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1"/>
      <c r="B870" s="42"/>
      <c r="C870" s="42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3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1"/>
      <c r="B871" s="42"/>
      <c r="C871" s="42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3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1"/>
      <c r="B872" s="42"/>
      <c r="C872" s="42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3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1"/>
      <c r="B873" s="42"/>
      <c r="C873" s="42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3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1"/>
      <c r="B874" s="42"/>
      <c r="C874" s="42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3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1"/>
      <c r="B875" s="42"/>
      <c r="C875" s="42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3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1"/>
      <c r="B876" s="42"/>
      <c r="C876" s="42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3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1"/>
      <c r="B877" s="42"/>
      <c r="C877" s="42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3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1"/>
      <c r="B878" s="42"/>
      <c r="C878" s="42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3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1"/>
      <c r="B879" s="42"/>
      <c r="C879" s="42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3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1"/>
      <c r="B880" s="42"/>
      <c r="C880" s="42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3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1"/>
      <c r="B881" s="42"/>
      <c r="C881" s="42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3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1"/>
      <c r="B882" s="42"/>
      <c r="C882" s="42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3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1"/>
      <c r="B883" s="42"/>
      <c r="C883" s="42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3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1"/>
      <c r="B884" s="42"/>
      <c r="C884" s="42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3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1"/>
      <c r="B885" s="42"/>
      <c r="C885" s="42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3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1"/>
      <c r="B886" s="42"/>
      <c r="C886" s="42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3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1"/>
      <c r="B887" s="42"/>
      <c r="C887" s="42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3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1"/>
      <c r="B888" s="42"/>
      <c r="C888" s="42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3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1"/>
      <c r="B889" s="42"/>
      <c r="C889" s="42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3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1"/>
      <c r="B890" s="42"/>
      <c r="C890" s="42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3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1"/>
      <c r="B891" s="42"/>
      <c r="C891" s="42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3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1"/>
      <c r="B892" s="42"/>
      <c r="C892" s="42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3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1"/>
      <c r="B893" s="42"/>
      <c r="C893" s="42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3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1"/>
      <c r="B894" s="42"/>
      <c r="C894" s="42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3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1"/>
      <c r="B895" s="42"/>
      <c r="C895" s="42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3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1"/>
      <c r="B896" s="42"/>
      <c r="C896" s="42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3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1"/>
      <c r="B897" s="42"/>
      <c r="C897" s="42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3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1"/>
      <c r="B898" s="42"/>
      <c r="C898" s="42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3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1"/>
      <c r="B899" s="42"/>
      <c r="C899" s="42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3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1"/>
      <c r="B900" s="42"/>
      <c r="C900" s="42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3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1"/>
      <c r="B901" s="42"/>
      <c r="C901" s="42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3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1"/>
      <c r="B902" s="42"/>
      <c r="C902" s="42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3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1"/>
      <c r="B903" s="42"/>
      <c r="C903" s="42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3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1"/>
      <c r="B904" s="42"/>
      <c r="C904" s="42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3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1"/>
      <c r="B905" s="42"/>
      <c r="C905" s="42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3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1"/>
      <c r="B906" s="42"/>
      <c r="C906" s="42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3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1"/>
      <c r="B907" s="42"/>
      <c r="C907" s="42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3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1"/>
      <c r="B908" s="42"/>
      <c r="C908" s="42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3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1"/>
      <c r="B909" s="42"/>
      <c r="C909" s="42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3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1"/>
      <c r="B910" s="42"/>
      <c r="C910" s="42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3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1"/>
      <c r="B911" s="42"/>
      <c r="C911" s="42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3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1"/>
      <c r="B912" s="42"/>
      <c r="C912" s="42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3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1"/>
      <c r="B913" s="42"/>
      <c r="C913" s="42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3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1"/>
      <c r="B914" s="42"/>
      <c r="C914" s="42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3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1"/>
      <c r="B915" s="42"/>
      <c r="C915" s="42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3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1"/>
      <c r="B916" s="42"/>
      <c r="C916" s="42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3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1"/>
      <c r="B917" s="42"/>
      <c r="C917" s="42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3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1"/>
      <c r="B918" s="42"/>
      <c r="C918" s="42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3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1"/>
      <c r="B919" s="42"/>
      <c r="C919" s="42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3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1"/>
      <c r="B920" s="42"/>
      <c r="C920" s="42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3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1"/>
      <c r="B921" s="42"/>
      <c r="C921" s="42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3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1"/>
      <c r="B922" s="42"/>
      <c r="C922" s="42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3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1"/>
      <c r="B923" s="42"/>
      <c r="C923" s="42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3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1"/>
      <c r="B924" s="42"/>
      <c r="C924" s="42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3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1"/>
      <c r="B925" s="42"/>
      <c r="C925" s="42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3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1"/>
      <c r="B926" s="42"/>
      <c r="C926" s="42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3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1"/>
      <c r="B927" s="42"/>
      <c r="C927" s="42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3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1"/>
      <c r="B928" s="42"/>
      <c r="C928" s="42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3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1"/>
      <c r="B929" s="42"/>
      <c r="C929" s="42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3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1"/>
      <c r="B930" s="42"/>
      <c r="C930" s="42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3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1"/>
      <c r="B931" s="42"/>
      <c r="C931" s="42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3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1"/>
      <c r="B932" s="42"/>
      <c r="C932" s="42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3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1"/>
      <c r="B933" s="42"/>
      <c r="C933" s="42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3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1"/>
      <c r="B934" s="42"/>
      <c r="C934" s="42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3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1"/>
      <c r="B935" s="42"/>
      <c r="C935" s="42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3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1"/>
      <c r="B936" s="42"/>
      <c r="C936" s="42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3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1"/>
      <c r="B937" s="42"/>
      <c r="C937" s="42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3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1"/>
      <c r="B938" s="42"/>
      <c r="C938" s="42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3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1"/>
      <c r="B939" s="42"/>
      <c r="C939" s="42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3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1"/>
      <c r="B940" s="42"/>
      <c r="C940" s="42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3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1"/>
      <c r="B941" s="42"/>
      <c r="C941" s="42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3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1"/>
      <c r="B942" s="42"/>
      <c r="C942" s="42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3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1"/>
      <c r="B943" s="42"/>
      <c r="C943" s="42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3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1"/>
      <c r="B944" s="42"/>
      <c r="C944" s="42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3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1"/>
      <c r="B945" s="42"/>
      <c r="C945" s="42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3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1"/>
      <c r="B946" s="42"/>
      <c r="C946" s="42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3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1"/>
      <c r="B947" s="42"/>
      <c r="C947" s="42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3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1"/>
      <c r="B948" s="42"/>
      <c r="C948" s="42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3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1"/>
      <c r="B949" s="42"/>
      <c r="C949" s="42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3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1"/>
      <c r="B950" s="42"/>
      <c r="C950" s="42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3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1"/>
      <c r="B951" s="42"/>
      <c r="C951" s="42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3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1"/>
      <c r="B952" s="42"/>
      <c r="C952" s="42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3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1"/>
      <c r="B953" s="42"/>
      <c r="C953" s="42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3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1"/>
      <c r="B954" s="42"/>
      <c r="C954" s="42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3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1"/>
      <c r="B955" s="42"/>
      <c r="C955" s="42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3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1"/>
      <c r="B956" s="42"/>
      <c r="C956" s="42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3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1"/>
      <c r="B957" s="42"/>
      <c r="C957" s="42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3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1"/>
      <c r="B958" s="42"/>
      <c r="C958" s="42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3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1"/>
      <c r="B959" s="42"/>
      <c r="C959" s="42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3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1"/>
      <c r="B960" s="42"/>
      <c r="C960" s="42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3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1"/>
      <c r="B961" s="42"/>
      <c r="C961" s="42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3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1"/>
      <c r="B962" s="42"/>
      <c r="C962" s="42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3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1"/>
      <c r="B963" s="42"/>
      <c r="C963" s="42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3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1"/>
      <c r="B964" s="42"/>
      <c r="C964" s="42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3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1"/>
      <c r="B965" s="42"/>
      <c r="C965" s="42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3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1"/>
      <c r="B966" s="42"/>
      <c r="C966" s="42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3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1"/>
      <c r="B967" s="42"/>
      <c r="C967" s="42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3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1"/>
      <c r="B968" s="42"/>
      <c r="C968" s="42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3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1"/>
      <c r="B969" s="42"/>
      <c r="C969" s="42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3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1"/>
      <c r="B970" s="42"/>
      <c r="C970" s="42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3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1"/>
      <c r="B971" s="42"/>
      <c r="C971" s="42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3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1"/>
      <c r="B972" s="42"/>
      <c r="C972" s="42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3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1"/>
      <c r="B973" s="42"/>
      <c r="C973" s="42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3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1"/>
      <c r="B974" s="42"/>
      <c r="C974" s="42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3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1"/>
      <c r="B975" s="42"/>
      <c r="C975" s="42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3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1"/>
      <c r="B976" s="42"/>
      <c r="C976" s="42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3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1"/>
      <c r="B977" s="42"/>
      <c r="C977" s="42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3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1"/>
      <c r="B978" s="42"/>
      <c r="C978" s="42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3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1"/>
      <c r="B979" s="42"/>
      <c r="C979" s="42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3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1"/>
      <c r="B980" s="42"/>
      <c r="C980" s="42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3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1"/>
      <c r="B981" s="42"/>
      <c r="C981" s="42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3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1"/>
      <c r="B982" s="42"/>
      <c r="C982" s="42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3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1"/>
      <c r="B983" s="42"/>
      <c r="C983" s="42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3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1"/>
      <c r="B984" s="42"/>
      <c r="C984" s="42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3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1"/>
      <c r="B985" s="42"/>
      <c r="C985" s="42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3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1"/>
      <c r="B986" s="42"/>
      <c r="C986" s="42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3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1"/>
      <c r="B987" s="42"/>
      <c r="C987" s="42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3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1"/>
      <c r="B988" s="42"/>
      <c r="C988" s="42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3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1"/>
      <c r="B989" s="42"/>
      <c r="C989" s="42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3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1"/>
      <c r="B990" s="42"/>
      <c r="C990" s="42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3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1"/>
      <c r="B991" s="42"/>
      <c r="C991" s="42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3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1"/>
      <c r="B992" s="42"/>
      <c r="C992" s="42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3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1"/>
      <c r="B993" s="42"/>
      <c r="C993" s="42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3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1"/>
      <c r="B994" s="42"/>
      <c r="C994" s="42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3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1"/>
      <c r="B995" s="42"/>
      <c r="C995" s="42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3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1"/>
      <c r="B996" s="42"/>
      <c r="C996" s="42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3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1"/>
      <c r="B997" s="42"/>
      <c r="C997" s="42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3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1"/>
      <c r="B998" s="42"/>
      <c r="C998" s="42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3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1"/>
      <c r="B999" s="42"/>
      <c r="C999" s="42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3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1"/>
      <c r="B1000" s="42"/>
      <c r="C1000" s="42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3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7"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B104:B125"/>
    <mergeCell ref="B126:B147"/>
    <mergeCell ref="B148:B169"/>
    <mergeCell ref="B170:B181"/>
    <mergeCell ref="A174:A175"/>
    <mergeCell ref="B182:B189"/>
    <mergeCell ref="B190:B192"/>
    <mergeCell ref="B3:B22"/>
    <mergeCell ref="B23:B29"/>
    <mergeCell ref="B30:B34"/>
    <mergeCell ref="B35:B46"/>
    <mergeCell ref="B48:B59"/>
    <mergeCell ref="B60:B81"/>
    <mergeCell ref="B82:B103"/>
  </mergeCells>
  <conditionalFormatting sqref="A3:A173 M3:M1000 A176:A360">
    <cfRule type="containsText" dxfId="0" priority="1" operator="containsText" text="Reserved">
      <formula>NOT(ISERROR(SEARCH(("Reserved"),(A3))))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</cols>
  <sheetData>
    <row r="2">
      <c r="A2" s="44" t="s">
        <v>781</v>
      </c>
      <c r="B2" s="45"/>
    </row>
    <row r="3">
      <c r="A3" s="44" t="s">
        <v>782</v>
      </c>
      <c r="B3" s="46"/>
    </row>
    <row r="4">
      <c r="A4" s="44" t="s">
        <v>783</v>
      </c>
      <c r="B4" s="47"/>
    </row>
    <row r="5">
      <c r="A5" s="44" t="s">
        <v>784</v>
      </c>
      <c r="B5" s="48"/>
    </row>
    <row r="6">
      <c r="A6" s="44" t="s">
        <v>785</v>
      </c>
      <c r="B6" s="49"/>
    </row>
    <row r="7">
      <c r="A7" s="44" t="s">
        <v>786</v>
      </c>
      <c r="B7" s="50"/>
    </row>
    <row r="8">
      <c r="A8" s="41"/>
      <c r="B8" s="41"/>
    </row>
    <row r="9">
      <c r="A9" s="41"/>
      <c r="B9" s="41"/>
    </row>
    <row r="10">
      <c r="A10" s="41"/>
      <c r="B10" s="41"/>
    </row>
    <row r="11">
      <c r="A11" s="41"/>
      <c r="B11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0.43"/>
    <col customWidth="1" min="4" max="4" width="35.0"/>
  </cols>
  <sheetData>
    <row r="1">
      <c r="A1" s="51" t="s">
        <v>0</v>
      </c>
      <c r="B1" s="52"/>
      <c r="C1" s="51" t="s">
        <v>3</v>
      </c>
      <c r="D1" s="51" t="s">
        <v>4</v>
      </c>
      <c r="E1" s="51" t="s">
        <v>5</v>
      </c>
      <c r="F1" s="51" t="s">
        <v>787</v>
      </c>
      <c r="G1" s="53" t="s">
        <v>788</v>
      </c>
      <c r="H1" s="53" t="s">
        <v>789</v>
      </c>
      <c r="I1" s="53" t="s">
        <v>10</v>
      </c>
      <c r="J1" s="53" t="s">
        <v>790</v>
      </c>
    </row>
    <row r="2">
      <c r="A2" s="51" t="s">
        <v>791</v>
      </c>
      <c r="B2" s="54" t="s">
        <v>14</v>
      </c>
      <c r="C2" s="55" t="s">
        <v>16</v>
      </c>
      <c r="D2" s="55"/>
      <c r="E2" s="55">
        <v>0.01</v>
      </c>
      <c r="F2" s="55" t="s">
        <v>17</v>
      </c>
      <c r="G2" s="56">
        <v>5000.0</v>
      </c>
      <c r="H2" s="56">
        <v>1.0</v>
      </c>
      <c r="I2" s="56">
        <v>4.0</v>
      </c>
      <c r="J2" s="56">
        <v>4.0</v>
      </c>
    </row>
    <row r="3">
      <c r="A3" s="51" t="s">
        <v>792</v>
      </c>
      <c r="B3" s="11"/>
      <c r="C3" s="55" t="s">
        <v>26</v>
      </c>
      <c r="D3" s="55"/>
      <c r="E3" s="55">
        <v>0.01</v>
      </c>
      <c r="F3" s="55" t="s">
        <v>17</v>
      </c>
      <c r="G3" s="56" t="s">
        <v>27</v>
      </c>
      <c r="H3" s="56">
        <v>1.0</v>
      </c>
      <c r="I3" s="56">
        <v>4.0</v>
      </c>
      <c r="J3" s="56">
        <v>4.0</v>
      </c>
    </row>
    <row r="4">
      <c r="A4" s="51" t="s">
        <v>793</v>
      </c>
      <c r="B4" s="11"/>
      <c r="C4" s="55" t="s">
        <v>33</v>
      </c>
      <c r="D4" s="55"/>
      <c r="E4" s="55">
        <v>0.01</v>
      </c>
      <c r="F4" s="55" t="s">
        <v>17</v>
      </c>
      <c r="G4" s="56" t="s">
        <v>34</v>
      </c>
      <c r="H4" s="56">
        <v>1.0</v>
      </c>
      <c r="I4" s="56">
        <v>4.0</v>
      </c>
      <c r="J4" s="56">
        <v>4.0</v>
      </c>
    </row>
    <row r="5">
      <c r="A5" s="51" t="s">
        <v>791</v>
      </c>
      <c r="B5" s="11"/>
      <c r="C5" s="55" t="s">
        <v>16</v>
      </c>
      <c r="D5" s="55" t="s">
        <v>47</v>
      </c>
      <c r="E5" s="55">
        <v>0.01</v>
      </c>
      <c r="F5" s="55" t="s">
        <v>17</v>
      </c>
      <c r="G5" s="56" t="s">
        <v>48</v>
      </c>
      <c r="H5" s="56">
        <v>3.0</v>
      </c>
      <c r="I5" s="56">
        <v>4.0</v>
      </c>
      <c r="J5" s="56">
        <v>12.0</v>
      </c>
    </row>
    <row r="6">
      <c r="A6" s="51" t="s">
        <v>792</v>
      </c>
      <c r="B6" s="11"/>
      <c r="C6" s="55" t="s">
        <v>26</v>
      </c>
      <c r="D6" s="55" t="s">
        <v>47</v>
      </c>
      <c r="E6" s="55">
        <v>0.01</v>
      </c>
      <c r="F6" s="55" t="s">
        <v>17</v>
      </c>
      <c r="G6" s="56" t="s">
        <v>52</v>
      </c>
      <c r="H6" s="56">
        <v>3.0</v>
      </c>
      <c r="I6" s="56">
        <v>4.0</v>
      </c>
      <c r="J6" s="56">
        <v>12.0</v>
      </c>
    </row>
    <row r="7">
      <c r="A7" s="51" t="s">
        <v>793</v>
      </c>
      <c r="B7" s="4"/>
      <c r="C7" s="55" t="s">
        <v>33</v>
      </c>
      <c r="D7" s="55" t="s">
        <v>47</v>
      </c>
      <c r="E7" s="55">
        <v>0.01</v>
      </c>
      <c r="F7" s="55" t="s">
        <v>17</v>
      </c>
      <c r="G7" s="56" t="s">
        <v>55</v>
      </c>
      <c r="H7" s="56">
        <v>3.0</v>
      </c>
      <c r="I7" s="56">
        <v>4.0</v>
      </c>
      <c r="J7" s="56">
        <v>12.0</v>
      </c>
    </row>
    <row r="8">
      <c r="A8" s="55" t="s">
        <v>58</v>
      </c>
      <c r="B8" s="54" t="s">
        <v>59</v>
      </c>
      <c r="C8" s="55" t="s">
        <v>60</v>
      </c>
      <c r="D8" s="55"/>
      <c r="E8" s="55">
        <v>0.1</v>
      </c>
      <c r="F8" s="55" t="s">
        <v>17</v>
      </c>
      <c r="G8" s="56" t="s">
        <v>61</v>
      </c>
      <c r="H8" s="56">
        <v>1.0</v>
      </c>
      <c r="I8" s="56">
        <v>2.0</v>
      </c>
      <c r="J8" s="56">
        <v>2.0</v>
      </c>
    </row>
    <row r="9">
      <c r="A9" s="51" t="s">
        <v>794</v>
      </c>
      <c r="B9" s="11"/>
      <c r="C9" s="55" t="s">
        <v>60</v>
      </c>
      <c r="D9" s="55"/>
      <c r="E9" s="55">
        <v>0.1</v>
      </c>
      <c r="F9" s="55" t="s">
        <v>17</v>
      </c>
      <c r="G9" s="56" t="s">
        <v>65</v>
      </c>
      <c r="H9" s="56">
        <v>1.0</v>
      </c>
      <c r="I9" s="56">
        <v>2.0</v>
      </c>
      <c r="J9" s="56">
        <v>2.0</v>
      </c>
    </row>
    <row r="10">
      <c r="A10" s="51" t="s">
        <v>795</v>
      </c>
      <c r="B10" s="11"/>
      <c r="C10" s="55" t="s">
        <v>60</v>
      </c>
      <c r="D10" s="55"/>
      <c r="E10" s="55">
        <v>0.1</v>
      </c>
      <c r="F10" s="55" t="s">
        <v>17</v>
      </c>
      <c r="G10" s="56" t="s">
        <v>68</v>
      </c>
      <c r="H10" s="56">
        <v>1.0</v>
      </c>
      <c r="I10" s="56">
        <v>2.0</v>
      </c>
      <c r="J10" s="56">
        <v>2.0</v>
      </c>
    </row>
    <row r="11">
      <c r="A11" s="51" t="s">
        <v>796</v>
      </c>
      <c r="B11" s="11"/>
      <c r="C11" s="55" t="s">
        <v>60</v>
      </c>
      <c r="D11" s="55"/>
      <c r="E11" s="55">
        <v>0.1</v>
      </c>
      <c r="F11" s="55" t="s">
        <v>17</v>
      </c>
      <c r="G11" s="56" t="s">
        <v>71</v>
      </c>
      <c r="H11" s="56">
        <v>1.0</v>
      </c>
      <c r="I11" s="56">
        <v>2.0</v>
      </c>
      <c r="J11" s="56">
        <v>2.0</v>
      </c>
    </row>
    <row r="12">
      <c r="A12" s="51" t="s">
        <v>797</v>
      </c>
      <c r="B12" s="11"/>
      <c r="C12" s="55" t="s">
        <v>60</v>
      </c>
      <c r="D12" s="55"/>
      <c r="E12" s="55">
        <v>0.1</v>
      </c>
      <c r="F12" s="55" t="s">
        <v>17</v>
      </c>
      <c r="G12" s="56" t="s">
        <v>74</v>
      </c>
      <c r="H12" s="56">
        <v>1.0</v>
      </c>
      <c r="I12" s="56">
        <v>2.0</v>
      </c>
      <c r="J12" s="56">
        <v>2.0</v>
      </c>
    </row>
    <row r="13">
      <c r="A13" s="51" t="s">
        <v>798</v>
      </c>
      <c r="B13" s="11"/>
      <c r="C13" s="55" t="s">
        <v>60</v>
      </c>
      <c r="D13" s="55"/>
      <c r="E13" s="55">
        <v>0.1</v>
      </c>
      <c r="F13" s="55" t="s">
        <v>17</v>
      </c>
      <c r="G13" s="56" t="s">
        <v>77</v>
      </c>
      <c r="H13" s="56">
        <v>1.0</v>
      </c>
      <c r="I13" s="56">
        <v>2.0</v>
      </c>
      <c r="J13" s="56">
        <v>2.0</v>
      </c>
    </row>
    <row r="14">
      <c r="A14" s="51" t="s">
        <v>799</v>
      </c>
      <c r="B14" s="4"/>
      <c r="C14" s="55" t="s">
        <v>60</v>
      </c>
      <c r="D14" s="55"/>
      <c r="E14" s="55">
        <v>0.1</v>
      </c>
      <c r="F14" s="55" t="s">
        <v>17</v>
      </c>
      <c r="G14" s="56" t="s">
        <v>80</v>
      </c>
      <c r="H14" s="56">
        <v>1.0</v>
      </c>
      <c r="I14" s="56">
        <v>2.0</v>
      </c>
      <c r="J14" s="56">
        <v>2.0</v>
      </c>
    </row>
    <row r="15">
      <c r="A15" s="55" t="s">
        <v>81</v>
      </c>
      <c r="B15" s="54" t="s">
        <v>82</v>
      </c>
      <c r="C15" s="55" t="s">
        <v>83</v>
      </c>
      <c r="D15" s="55"/>
      <c r="E15" s="55">
        <v>0.01</v>
      </c>
      <c r="F15" s="55" t="s">
        <v>17</v>
      </c>
      <c r="G15" s="56" t="s">
        <v>84</v>
      </c>
      <c r="H15" s="56">
        <v>1.0</v>
      </c>
      <c r="I15" s="56">
        <v>2.0</v>
      </c>
      <c r="J15" s="56">
        <v>2.0</v>
      </c>
    </row>
    <row r="16">
      <c r="A16" s="51" t="s">
        <v>800</v>
      </c>
      <c r="B16" s="11"/>
      <c r="C16" s="55" t="s">
        <v>83</v>
      </c>
      <c r="D16" s="55"/>
      <c r="E16" s="55">
        <v>0.01</v>
      </c>
      <c r="F16" s="55" t="s">
        <v>17</v>
      </c>
      <c r="G16" s="56" t="s">
        <v>86</v>
      </c>
      <c r="H16" s="56">
        <v>1.0</v>
      </c>
      <c r="I16" s="56">
        <v>2.0</v>
      </c>
      <c r="J16" s="56">
        <v>2.0</v>
      </c>
    </row>
    <row r="17">
      <c r="A17" s="51" t="s">
        <v>801</v>
      </c>
      <c r="B17" s="11"/>
      <c r="C17" s="55" t="s">
        <v>83</v>
      </c>
      <c r="D17" s="55"/>
      <c r="E17" s="55">
        <v>0.01</v>
      </c>
      <c r="F17" s="55" t="s">
        <v>17</v>
      </c>
      <c r="G17" s="56" t="s">
        <v>87</v>
      </c>
      <c r="H17" s="56">
        <v>1.0</v>
      </c>
      <c r="I17" s="56">
        <v>2.0</v>
      </c>
      <c r="J17" s="56">
        <v>2.0</v>
      </c>
    </row>
    <row r="18">
      <c r="A18" s="51" t="s">
        <v>802</v>
      </c>
      <c r="B18" s="11"/>
      <c r="C18" s="55" t="s">
        <v>83</v>
      </c>
      <c r="D18" s="55"/>
      <c r="E18" s="55">
        <v>0.01</v>
      </c>
      <c r="F18" s="55" t="s">
        <v>17</v>
      </c>
      <c r="G18" s="56" t="s">
        <v>88</v>
      </c>
      <c r="H18" s="56">
        <v>1.0</v>
      </c>
      <c r="I18" s="56">
        <v>2.0</v>
      </c>
      <c r="J18" s="56">
        <v>2.0</v>
      </c>
    </row>
    <row r="19">
      <c r="A19" s="51" t="s">
        <v>803</v>
      </c>
      <c r="B19" s="4"/>
      <c r="C19" s="55" t="s">
        <v>83</v>
      </c>
      <c r="D19" s="55"/>
      <c r="E19" s="55">
        <v>0.01</v>
      </c>
      <c r="F19" s="55" t="s">
        <v>17</v>
      </c>
      <c r="G19" s="56" t="s">
        <v>90</v>
      </c>
      <c r="H19" s="56">
        <v>1.0</v>
      </c>
      <c r="I19" s="56">
        <v>2.0</v>
      </c>
      <c r="J19" s="56">
        <v>2.0</v>
      </c>
    </row>
    <row r="20">
      <c r="A20" s="51" t="s">
        <v>804</v>
      </c>
      <c r="B20" s="54" t="s">
        <v>92</v>
      </c>
      <c r="C20" s="55" t="s">
        <v>93</v>
      </c>
      <c r="D20" s="55"/>
      <c r="E20" s="55">
        <v>0.01</v>
      </c>
      <c r="F20" s="55" t="s">
        <v>23</v>
      </c>
      <c r="G20" s="56" t="s">
        <v>95</v>
      </c>
      <c r="H20" s="56">
        <v>1.0</v>
      </c>
      <c r="I20" s="56">
        <v>2.0</v>
      </c>
      <c r="J20" s="56">
        <v>2.0</v>
      </c>
    </row>
    <row r="21">
      <c r="A21" s="51" t="s">
        <v>805</v>
      </c>
      <c r="B21" s="11"/>
      <c r="C21" s="55" t="s">
        <v>93</v>
      </c>
      <c r="D21" s="55"/>
      <c r="E21" s="55">
        <v>0.01</v>
      </c>
      <c r="F21" s="55" t="s">
        <v>23</v>
      </c>
      <c r="G21" s="56" t="s">
        <v>96</v>
      </c>
      <c r="H21" s="56">
        <v>1.0</v>
      </c>
      <c r="I21" s="56">
        <v>2.0</v>
      </c>
      <c r="J21" s="56">
        <v>2.0</v>
      </c>
    </row>
    <row r="22">
      <c r="A22" s="51" t="s">
        <v>806</v>
      </c>
      <c r="B22" s="11"/>
      <c r="C22" s="55" t="s">
        <v>93</v>
      </c>
      <c r="D22" s="55"/>
      <c r="E22" s="55">
        <v>0.01</v>
      </c>
      <c r="F22" s="55" t="s">
        <v>23</v>
      </c>
      <c r="G22" s="56" t="s">
        <v>97</v>
      </c>
      <c r="H22" s="56">
        <v>1.0</v>
      </c>
      <c r="I22" s="56">
        <v>2.0</v>
      </c>
      <c r="J22" s="56">
        <v>2.0</v>
      </c>
    </row>
    <row r="23">
      <c r="A23" s="51" t="s">
        <v>807</v>
      </c>
      <c r="B23" s="11"/>
      <c r="C23" s="55" t="s">
        <v>93</v>
      </c>
      <c r="D23" s="55"/>
      <c r="E23" s="55">
        <v>0.01</v>
      </c>
      <c r="F23" s="55" t="s">
        <v>23</v>
      </c>
      <c r="G23" s="56" t="s">
        <v>98</v>
      </c>
      <c r="H23" s="56">
        <v>1.0</v>
      </c>
      <c r="I23" s="56">
        <v>2.0</v>
      </c>
      <c r="J23" s="56">
        <v>2.0</v>
      </c>
    </row>
    <row r="24">
      <c r="A24" s="51" t="s">
        <v>808</v>
      </c>
      <c r="B24" s="11"/>
      <c r="C24" s="55" t="s">
        <v>100</v>
      </c>
      <c r="D24" s="55"/>
      <c r="E24" s="55">
        <v>0.01</v>
      </c>
      <c r="F24" s="55" t="s">
        <v>23</v>
      </c>
      <c r="G24" s="56" t="s">
        <v>101</v>
      </c>
      <c r="H24" s="56">
        <v>1.0</v>
      </c>
      <c r="I24" s="56">
        <v>2.0</v>
      </c>
      <c r="J24" s="56">
        <v>2.0</v>
      </c>
    </row>
    <row r="25">
      <c r="A25" s="51" t="s">
        <v>809</v>
      </c>
      <c r="B25" s="11"/>
      <c r="C25" s="55" t="s">
        <v>100</v>
      </c>
      <c r="D25" s="55"/>
      <c r="E25" s="55">
        <v>0.01</v>
      </c>
      <c r="F25" s="55" t="s">
        <v>23</v>
      </c>
      <c r="G25" s="56" t="s">
        <v>102</v>
      </c>
      <c r="H25" s="56">
        <v>1.0</v>
      </c>
      <c r="I25" s="56">
        <v>2.0</v>
      </c>
      <c r="J25" s="56">
        <v>2.0</v>
      </c>
    </row>
    <row r="26">
      <c r="A26" s="51" t="s">
        <v>810</v>
      </c>
      <c r="B26" s="11"/>
      <c r="C26" s="55" t="s">
        <v>100</v>
      </c>
      <c r="D26" s="55"/>
      <c r="E26" s="55">
        <v>0.01</v>
      </c>
      <c r="F26" s="55" t="s">
        <v>23</v>
      </c>
      <c r="G26" s="56" t="s">
        <v>103</v>
      </c>
      <c r="H26" s="56">
        <v>1.0</v>
      </c>
      <c r="I26" s="56">
        <v>2.0</v>
      </c>
      <c r="J26" s="56">
        <v>2.0</v>
      </c>
    </row>
    <row r="27">
      <c r="A27" s="51" t="s">
        <v>811</v>
      </c>
      <c r="B27" s="11"/>
      <c r="C27" s="55" t="s">
        <v>100</v>
      </c>
      <c r="D27" s="55"/>
      <c r="E27" s="55">
        <v>0.01</v>
      </c>
      <c r="F27" s="55" t="s">
        <v>23</v>
      </c>
      <c r="G27" s="56" t="s">
        <v>104</v>
      </c>
      <c r="H27" s="56">
        <v>1.0</v>
      </c>
      <c r="I27" s="56">
        <v>2.0</v>
      </c>
      <c r="J27" s="56">
        <v>2.0</v>
      </c>
    </row>
    <row r="28">
      <c r="A28" s="51" t="s">
        <v>812</v>
      </c>
      <c r="B28" s="11"/>
      <c r="C28" s="55" t="s">
        <v>106</v>
      </c>
      <c r="D28" s="55"/>
      <c r="E28" s="55">
        <v>0.01</v>
      </c>
      <c r="F28" s="55" t="s">
        <v>23</v>
      </c>
      <c r="G28" s="56" t="s">
        <v>107</v>
      </c>
      <c r="H28" s="56">
        <v>1.0</v>
      </c>
      <c r="I28" s="56">
        <v>2.0</v>
      </c>
      <c r="J28" s="56">
        <v>2.0</v>
      </c>
    </row>
    <row r="29">
      <c r="A29" s="51" t="s">
        <v>813</v>
      </c>
      <c r="B29" s="11"/>
      <c r="C29" s="55" t="s">
        <v>106</v>
      </c>
      <c r="D29" s="55"/>
      <c r="E29" s="55">
        <v>0.01</v>
      </c>
      <c r="F29" s="55" t="s">
        <v>23</v>
      </c>
      <c r="G29" s="56" t="s">
        <v>108</v>
      </c>
      <c r="H29" s="56">
        <v>1.0</v>
      </c>
      <c r="I29" s="56">
        <v>2.0</v>
      </c>
      <c r="J29" s="56">
        <v>2.0</v>
      </c>
    </row>
    <row r="30">
      <c r="A30" s="51" t="s">
        <v>814</v>
      </c>
      <c r="B30" s="11"/>
      <c r="C30" s="55" t="s">
        <v>106</v>
      </c>
      <c r="D30" s="55"/>
      <c r="E30" s="55">
        <v>0.01</v>
      </c>
      <c r="F30" s="55" t="s">
        <v>23</v>
      </c>
      <c r="G30" s="56" t="s">
        <v>109</v>
      </c>
      <c r="H30" s="56">
        <v>1.0</v>
      </c>
      <c r="I30" s="56">
        <v>2.0</v>
      </c>
      <c r="J30" s="56">
        <v>2.0</v>
      </c>
    </row>
    <row r="31">
      <c r="A31" s="51" t="s">
        <v>815</v>
      </c>
      <c r="B31" s="4"/>
      <c r="C31" s="55" t="s">
        <v>106</v>
      </c>
      <c r="D31" s="55"/>
      <c r="E31" s="55">
        <v>0.01</v>
      </c>
      <c r="F31" s="55" t="s">
        <v>23</v>
      </c>
      <c r="G31" s="56" t="s">
        <v>110</v>
      </c>
      <c r="H31" s="56">
        <v>1.0</v>
      </c>
      <c r="I31" s="56">
        <v>2.0</v>
      </c>
      <c r="J31" s="56">
        <v>2.0</v>
      </c>
    </row>
    <row r="32">
      <c r="A32" s="55" t="s">
        <v>111</v>
      </c>
      <c r="B32" s="57" t="s">
        <v>112</v>
      </c>
      <c r="C32" s="55" t="s">
        <v>113</v>
      </c>
      <c r="D32" s="55"/>
      <c r="E32" s="55">
        <v>0.01</v>
      </c>
      <c r="F32" s="55" t="s">
        <v>17</v>
      </c>
      <c r="G32" s="56" t="s">
        <v>114</v>
      </c>
      <c r="H32" s="56">
        <v>1.0</v>
      </c>
      <c r="I32" s="56">
        <v>1.0</v>
      </c>
      <c r="J32" s="56">
        <v>1.0</v>
      </c>
    </row>
    <row r="33">
      <c r="A33" s="55" t="s">
        <v>115</v>
      </c>
      <c r="B33" s="58" t="s">
        <v>116</v>
      </c>
      <c r="C33" s="55" t="s">
        <v>117</v>
      </c>
      <c r="D33" s="55" t="s">
        <v>118</v>
      </c>
      <c r="E33" s="55">
        <v>0.1</v>
      </c>
      <c r="F33" s="55" t="s">
        <v>23</v>
      </c>
      <c r="G33" s="56" t="s">
        <v>119</v>
      </c>
      <c r="H33" s="56">
        <v>4.0</v>
      </c>
      <c r="I33" s="56">
        <v>1.0</v>
      </c>
      <c r="J33" s="56">
        <v>4.0</v>
      </c>
    </row>
    <row r="34">
      <c r="A34" s="55" t="s">
        <v>120</v>
      </c>
      <c r="B34" s="11"/>
      <c r="C34" s="55" t="s">
        <v>117</v>
      </c>
      <c r="D34" s="55" t="s">
        <v>47</v>
      </c>
      <c r="E34" s="55">
        <v>0.1</v>
      </c>
      <c r="F34" s="55" t="s">
        <v>23</v>
      </c>
      <c r="G34" s="56" t="s">
        <v>121</v>
      </c>
      <c r="H34" s="56">
        <v>3.0</v>
      </c>
      <c r="I34" s="56">
        <v>1.0</v>
      </c>
      <c r="J34" s="56">
        <v>3.0</v>
      </c>
    </row>
    <row r="35">
      <c r="A35" s="55" t="s">
        <v>122</v>
      </c>
      <c r="B35" s="11"/>
      <c r="C35" s="55" t="s">
        <v>117</v>
      </c>
      <c r="D35" s="55" t="s">
        <v>47</v>
      </c>
      <c r="E35" s="55">
        <v>0.1</v>
      </c>
      <c r="F35" s="55" t="s">
        <v>23</v>
      </c>
      <c r="G35" s="56" t="s">
        <v>123</v>
      </c>
      <c r="H35" s="56">
        <v>3.0</v>
      </c>
      <c r="I35" s="56">
        <v>1.0</v>
      </c>
      <c r="J35" s="56">
        <v>3.0</v>
      </c>
    </row>
    <row r="36">
      <c r="A36" s="51" t="s">
        <v>816</v>
      </c>
      <c r="B36" s="11"/>
      <c r="C36" s="55"/>
      <c r="D36" s="55"/>
      <c r="E36" s="55">
        <v>0.001</v>
      </c>
      <c r="F36" s="55" t="s">
        <v>23</v>
      </c>
      <c r="G36" s="56" t="s">
        <v>125</v>
      </c>
      <c r="H36" s="56">
        <v>1.0</v>
      </c>
      <c r="I36" s="56">
        <v>1.0</v>
      </c>
      <c r="J36" s="56">
        <v>1.0</v>
      </c>
    </row>
    <row r="37">
      <c r="A37" s="51" t="s">
        <v>817</v>
      </c>
      <c r="B37" s="11"/>
      <c r="C37" s="55"/>
      <c r="D37" s="55"/>
      <c r="E37" s="55">
        <v>0.001</v>
      </c>
      <c r="F37" s="55" t="s">
        <v>23</v>
      </c>
      <c r="G37" s="56" t="s">
        <v>126</v>
      </c>
      <c r="H37" s="56">
        <v>1.0</v>
      </c>
      <c r="I37" s="56">
        <v>1.0</v>
      </c>
      <c r="J37" s="56">
        <v>1.0</v>
      </c>
    </row>
    <row r="38">
      <c r="A38" s="51" t="s">
        <v>818</v>
      </c>
      <c r="B38" s="11"/>
      <c r="C38" s="55"/>
      <c r="D38" s="55"/>
      <c r="E38" s="55">
        <v>0.001</v>
      </c>
      <c r="F38" s="55" t="s">
        <v>23</v>
      </c>
      <c r="G38" s="56" t="s">
        <v>127</v>
      </c>
      <c r="H38" s="56">
        <v>1.0</v>
      </c>
      <c r="I38" s="56">
        <v>1.0</v>
      </c>
      <c r="J38" s="56">
        <v>1.0</v>
      </c>
    </row>
    <row r="39">
      <c r="A39" s="51" t="s">
        <v>819</v>
      </c>
      <c r="B39" s="11"/>
      <c r="C39" s="55"/>
      <c r="D39" s="55"/>
      <c r="E39" s="55">
        <v>0.001</v>
      </c>
      <c r="F39" s="55" t="s">
        <v>23</v>
      </c>
      <c r="G39" s="56" t="s">
        <v>128</v>
      </c>
      <c r="H39" s="56">
        <v>1.0</v>
      </c>
      <c r="I39" s="56">
        <v>1.0</v>
      </c>
      <c r="J39" s="56">
        <v>1.0</v>
      </c>
    </row>
    <row r="40">
      <c r="A40" s="55" t="s">
        <v>129</v>
      </c>
      <c r="B40" s="11"/>
      <c r="C40" s="55"/>
      <c r="D40" s="55" t="s">
        <v>118</v>
      </c>
      <c r="E40" s="55">
        <v>1.0</v>
      </c>
      <c r="F40" s="55" t="s">
        <v>17</v>
      </c>
      <c r="G40" s="56" t="s">
        <v>130</v>
      </c>
      <c r="H40" s="56">
        <v>4.0</v>
      </c>
      <c r="I40" s="56">
        <v>1.0</v>
      </c>
      <c r="J40" s="56">
        <v>4.0</v>
      </c>
    </row>
    <row r="41">
      <c r="A41" s="51" t="s">
        <v>820</v>
      </c>
      <c r="B41" s="11"/>
      <c r="C41" s="55" t="s">
        <v>117</v>
      </c>
      <c r="D41" s="55"/>
      <c r="E41" s="55">
        <v>0.001</v>
      </c>
      <c r="F41" s="55" t="s">
        <v>23</v>
      </c>
      <c r="G41" s="56" t="s">
        <v>132</v>
      </c>
      <c r="H41" s="56">
        <v>1.0</v>
      </c>
      <c r="I41" s="56">
        <v>1.0</v>
      </c>
      <c r="J41" s="56">
        <v>1.0</v>
      </c>
    </row>
    <row r="42">
      <c r="A42" s="51" t="s">
        <v>821</v>
      </c>
      <c r="B42" s="11"/>
      <c r="C42" s="55" t="s">
        <v>117</v>
      </c>
      <c r="D42" s="55"/>
      <c r="E42" s="55">
        <v>0.001</v>
      </c>
      <c r="F42" s="55" t="s">
        <v>23</v>
      </c>
      <c r="G42" s="56" t="s">
        <v>133</v>
      </c>
      <c r="H42" s="56">
        <v>1.0</v>
      </c>
      <c r="I42" s="56">
        <v>1.0</v>
      </c>
      <c r="J42" s="56">
        <v>1.0</v>
      </c>
    </row>
    <row r="43">
      <c r="A43" s="51" t="s">
        <v>822</v>
      </c>
      <c r="B43" s="11"/>
      <c r="C43" s="55" t="s">
        <v>117</v>
      </c>
      <c r="D43" s="55"/>
      <c r="E43" s="55">
        <v>0.001</v>
      </c>
      <c r="F43" s="55" t="s">
        <v>23</v>
      </c>
      <c r="G43" s="56" t="s">
        <v>134</v>
      </c>
      <c r="H43" s="56">
        <v>1.0</v>
      </c>
      <c r="I43" s="56">
        <v>1.0</v>
      </c>
      <c r="J43" s="56">
        <v>1.0</v>
      </c>
    </row>
    <row r="44">
      <c r="A44" s="51" t="s">
        <v>823</v>
      </c>
      <c r="B44" s="4"/>
      <c r="C44" s="55" t="s">
        <v>117</v>
      </c>
      <c r="D44" s="55"/>
      <c r="E44" s="55">
        <v>0.001</v>
      </c>
      <c r="F44" s="55" t="s">
        <v>23</v>
      </c>
      <c r="G44" s="56" t="s">
        <v>135</v>
      </c>
      <c r="H44" s="56">
        <v>1.0</v>
      </c>
      <c r="I44" s="56">
        <v>1.0</v>
      </c>
      <c r="J44" s="56">
        <v>1.0</v>
      </c>
    </row>
    <row r="45">
      <c r="A45" s="55" t="s">
        <v>183</v>
      </c>
      <c r="B45" s="58" t="s">
        <v>184</v>
      </c>
      <c r="C45" s="55" t="s">
        <v>83</v>
      </c>
      <c r="D45" s="55" t="s">
        <v>138</v>
      </c>
      <c r="E45" s="55">
        <v>0.01</v>
      </c>
      <c r="F45" s="55" t="s">
        <v>17</v>
      </c>
      <c r="G45" s="56" t="s">
        <v>185</v>
      </c>
      <c r="H45" s="56">
        <v>1.0</v>
      </c>
      <c r="I45" s="56">
        <v>2.0</v>
      </c>
      <c r="J45" s="56">
        <v>2.0</v>
      </c>
    </row>
    <row r="46">
      <c r="A46" s="55" t="s">
        <v>186</v>
      </c>
      <c r="B46" s="11"/>
      <c r="C46" s="55" t="s">
        <v>83</v>
      </c>
      <c r="D46" s="55" t="s">
        <v>138</v>
      </c>
      <c r="E46" s="55">
        <v>0.01</v>
      </c>
      <c r="F46" s="55" t="s">
        <v>17</v>
      </c>
      <c r="G46" s="56" t="s">
        <v>187</v>
      </c>
      <c r="H46" s="56">
        <v>1.0</v>
      </c>
      <c r="I46" s="56">
        <v>2.0</v>
      </c>
      <c r="J46" s="56">
        <v>2.0</v>
      </c>
    </row>
    <row r="47">
      <c r="A47" s="55" t="s">
        <v>188</v>
      </c>
      <c r="B47" s="11"/>
      <c r="C47" s="55" t="s">
        <v>83</v>
      </c>
      <c r="D47" s="55" t="s">
        <v>138</v>
      </c>
      <c r="E47" s="55">
        <v>0.01</v>
      </c>
      <c r="F47" s="55" t="s">
        <v>17</v>
      </c>
      <c r="G47" s="56" t="s">
        <v>189</v>
      </c>
      <c r="H47" s="56">
        <v>1.0</v>
      </c>
      <c r="I47" s="56">
        <v>2.0</v>
      </c>
      <c r="J47" s="56">
        <v>2.0</v>
      </c>
    </row>
    <row r="48">
      <c r="A48" s="55" t="s">
        <v>190</v>
      </c>
      <c r="B48" s="11"/>
      <c r="C48" s="55" t="s">
        <v>83</v>
      </c>
      <c r="D48" s="55" t="s">
        <v>138</v>
      </c>
      <c r="E48" s="55">
        <v>0.01</v>
      </c>
      <c r="F48" s="55" t="s">
        <v>17</v>
      </c>
      <c r="G48" s="56" t="s">
        <v>191</v>
      </c>
      <c r="H48" s="56">
        <v>1.0</v>
      </c>
      <c r="I48" s="56">
        <v>2.0</v>
      </c>
      <c r="J48" s="56">
        <v>2.0</v>
      </c>
    </row>
    <row r="49">
      <c r="A49" s="55" t="s">
        <v>192</v>
      </c>
      <c r="B49" s="11"/>
      <c r="C49" s="55" t="s">
        <v>60</v>
      </c>
      <c r="D49" s="55" t="s">
        <v>138</v>
      </c>
      <c r="E49" s="55">
        <v>0.1</v>
      </c>
      <c r="F49" s="55" t="s">
        <v>17</v>
      </c>
      <c r="G49" s="56" t="s">
        <v>193</v>
      </c>
      <c r="H49" s="56">
        <v>1.0</v>
      </c>
      <c r="I49" s="56">
        <v>2.0</v>
      </c>
      <c r="J49" s="56">
        <v>2.0</v>
      </c>
    </row>
    <row r="50">
      <c r="A50" s="55" t="s">
        <v>194</v>
      </c>
      <c r="B50" s="11"/>
      <c r="C50" s="55" t="s">
        <v>60</v>
      </c>
      <c r="D50" s="55" t="s">
        <v>138</v>
      </c>
      <c r="E50" s="55">
        <v>0.1</v>
      </c>
      <c r="F50" s="55" t="s">
        <v>17</v>
      </c>
      <c r="G50" s="56" t="s">
        <v>195</v>
      </c>
      <c r="H50" s="56">
        <v>1.0</v>
      </c>
      <c r="I50" s="56">
        <v>2.0</v>
      </c>
      <c r="J50" s="56">
        <v>2.0</v>
      </c>
    </row>
    <row r="51">
      <c r="A51" s="55" t="s">
        <v>196</v>
      </c>
      <c r="B51" s="11"/>
      <c r="C51" s="55" t="s">
        <v>60</v>
      </c>
      <c r="D51" s="55" t="s">
        <v>138</v>
      </c>
      <c r="E51" s="55">
        <v>0.1</v>
      </c>
      <c r="F51" s="55" t="s">
        <v>17</v>
      </c>
      <c r="G51" s="56" t="s">
        <v>197</v>
      </c>
      <c r="H51" s="56">
        <v>1.0</v>
      </c>
      <c r="I51" s="56">
        <v>2.0</v>
      </c>
      <c r="J51" s="56">
        <v>2.0</v>
      </c>
    </row>
    <row r="52">
      <c r="A52" s="55" t="s">
        <v>198</v>
      </c>
      <c r="B52" s="11"/>
      <c r="C52" s="55" t="s">
        <v>60</v>
      </c>
      <c r="D52" s="55" t="s">
        <v>138</v>
      </c>
      <c r="E52" s="55">
        <v>0.1</v>
      </c>
      <c r="F52" s="55" t="s">
        <v>17</v>
      </c>
      <c r="G52" s="56" t="s">
        <v>199</v>
      </c>
      <c r="H52" s="56">
        <v>1.0</v>
      </c>
      <c r="I52" s="56">
        <v>2.0</v>
      </c>
      <c r="J52" s="56">
        <v>2.0</v>
      </c>
    </row>
    <row r="53">
      <c r="A53" s="55" t="s">
        <v>200</v>
      </c>
      <c r="B53" s="11"/>
      <c r="C53" s="55" t="s">
        <v>60</v>
      </c>
      <c r="D53" s="55" t="s">
        <v>138</v>
      </c>
      <c r="E53" s="55">
        <v>0.1</v>
      </c>
      <c r="F53" s="55" t="s">
        <v>17</v>
      </c>
      <c r="G53" s="56" t="s">
        <v>201</v>
      </c>
      <c r="H53" s="56">
        <v>1.0</v>
      </c>
      <c r="I53" s="56">
        <v>2.0</v>
      </c>
      <c r="J53" s="56">
        <v>2.0</v>
      </c>
    </row>
    <row r="54">
      <c r="A54" s="55" t="s">
        <v>202</v>
      </c>
      <c r="B54" s="11"/>
      <c r="C54" s="55" t="s">
        <v>60</v>
      </c>
      <c r="D54" s="55" t="s">
        <v>138</v>
      </c>
      <c r="E54" s="55">
        <v>0.1</v>
      </c>
      <c r="F54" s="55" t="s">
        <v>17</v>
      </c>
      <c r="G54" s="56" t="s">
        <v>203</v>
      </c>
      <c r="H54" s="56">
        <v>1.0</v>
      </c>
      <c r="I54" s="56">
        <v>2.0</v>
      </c>
      <c r="J54" s="56">
        <v>2.0</v>
      </c>
    </row>
    <row r="55">
      <c r="A55" s="55" t="s">
        <v>204</v>
      </c>
      <c r="B55" s="11"/>
      <c r="C55" s="55" t="s">
        <v>93</v>
      </c>
      <c r="D55" s="55" t="s">
        <v>138</v>
      </c>
      <c r="E55" s="55">
        <v>0.01</v>
      </c>
      <c r="F55" s="55" t="s">
        <v>23</v>
      </c>
      <c r="G55" s="56" t="s">
        <v>205</v>
      </c>
      <c r="H55" s="56">
        <v>1.0</v>
      </c>
      <c r="I55" s="56">
        <v>2.0</v>
      </c>
      <c r="J55" s="56">
        <v>2.0</v>
      </c>
    </row>
    <row r="56">
      <c r="A56" s="55" t="s">
        <v>206</v>
      </c>
      <c r="B56" s="11"/>
      <c r="C56" s="55" t="s">
        <v>93</v>
      </c>
      <c r="D56" s="55" t="s">
        <v>138</v>
      </c>
      <c r="E56" s="55">
        <v>0.01</v>
      </c>
      <c r="F56" s="55" t="s">
        <v>23</v>
      </c>
      <c r="G56" s="56" t="s">
        <v>207</v>
      </c>
      <c r="H56" s="56">
        <v>1.0</v>
      </c>
      <c r="I56" s="56">
        <v>2.0</v>
      </c>
      <c r="J56" s="56">
        <v>2.0</v>
      </c>
    </row>
    <row r="57">
      <c r="A57" s="55" t="s">
        <v>208</v>
      </c>
      <c r="B57" s="11"/>
      <c r="C57" s="55" t="s">
        <v>93</v>
      </c>
      <c r="D57" s="55" t="s">
        <v>138</v>
      </c>
      <c r="E57" s="55">
        <v>0.01</v>
      </c>
      <c r="F57" s="55" t="s">
        <v>23</v>
      </c>
      <c r="G57" s="56" t="s">
        <v>209</v>
      </c>
      <c r="H57" s="56">
        <v>1.0</v>
      </c>
      <c r="I57" s="56">
        <v>2.0</v>
      </c>
      <c r="J57" s="56">
        <v>2.0</v>
      </c>
    </row>
    <row r="58">
      <c r="A58" s="55" t="s">
        <v>210</v>
      </c>
      <c r="B58" s="11"/>
      <c r="C58" s="55" t="s">
        <v>93</v>
      </c>
      <c r="D58" s="55" t="s">
        <v>138</v>
      </c>
      <c r="E58" s="55">
        <v>0.01</v>
      </c>
      <c r="F58" s="55" t="s">
        <v>23</v>
      </c>
      <c r="G58" s="56" t="s">
        <v>211</v>
      </c>
      <c r="H58" s="56">
        <v>1.0</v>
      </c>
      <c r="I58" s="56">
        <v>2.0</v>
      </c>
      <c r="J58" s="56">
        <v>2.0</v>
      </c>
    </row>
    <row r="59">
      <c r="A59" s="55" t="s">
        <v>212</v>
      </c>
      <c r="B59" s="11"/>
      <c r="C59" s="55" t="s">
        <v>100</v>
      </c>
      <c r="D59" s="55" t="s">
        <v>138</v>
      </c>
      <c r="E59" s="55">
        <v>0.01</v>
      </c>
      <c r="F59" s="55" t="s">
        <v>23</v>
      </c>
      <c r="G59" s="56" t="s">
        <v>213</v>
      </c>
      <c r="H59" s="56">
        <v>1.0</v>
      </c>
      <c r="I59" s="56">
        <v>2.0</v>
      </c>
      <c r="J59" s="56">
        <v>2.0</v>
      </c>
    </row>
    <row r="60">
      <c r="A60" s="55" t="s">
        <v>214</v>
      </c>
      <c r="B60" s="11"/>
      <c r="C60" s="55" t="s">
        <v>100</v>
      </c>
      <c r="D60" s="55" t="s">
        <v>138</v>
      </c>
      <c r="E60" s="55">
        <v>0.01</v>
      </c>
      <c r="F60" s="55" t="s">
        <v>23</v>
      </c>
      <c r="G60" s="56" t="s">
        <v>215</v>
      </c>
      <c r="H60" s="56">
        <v>1.0</v>
      </c>
      <c r="I60" s="56">
        <v>2.0</v>
      </c>
      <c r="J60" s="56">
        <v>2.0</v>
      </c>
    </row>
    <row r="61">
      <c r="A61" s="55" t="s">
        <v>216</v>
      </c>
      <c r="B61" s="11"/>
      <c r="C61" s="55" t="s">
        <v>100</v>
      </c>
      <c r="D61" s="55" t="s">
        <v>138</v>
      </c>
      <c r="E61" s="55">
        <v>0.01</v>
      </c>
      <c r="F61" s="55" t="s">
        <v>23</v>
      </c>
      <c r="G61" s="56" t="s">
        <v>217</v>
      </c>
      <c r="H61" s="56">
        <v>1.0</v>
      </c>
      <c r="I61" s="56">
        <v>2.0</v>
      </c>
      <c r="J61" s="56">
        <v>2.0</v>
      </c>
    </row>
    <row r="62">
      <c r="A62" s="55" t="s">
        <v>218</v>
      </c>
      <c r="B62" s="11"/>
      <c r="C62" s="55" t="s">
        <v>100</v>
      </c>
      <c r="D62" s="55" t="s">
        <v>138</v>
      </c>
      <c r="E62" s="55">
        <v>0.01</v>
      </c>
      <c r="F62" s="55" t="s">
        <v>23</v>
      </c>
      <c r="G62" s="56" t="s">
        <v>219</v>
      </c>
      <c r="H62" s="56">
        <v>1.0</v>
      </c>
      <c r="I62" s="56">
        <v>2.0</v>
      </c>
      <c r="J62" s="56">
        <v>2.0</v>
      </c>
    </row>
    <row r="63">
      <c r="A63" s="55" t="s">
        <v>220</v>
      </c>
      <c r="B63" s="11"/>
      <c r="C63" s="55" t="s">
        <v>106</v>
      </c>
      <c r="D63" s="55" t="s">
        <v>138</v>
      </c>
      <c r="E63" s="55">
        <v>0.01</v>
      </c>
      <c r="F63" s="55" t="s">
        <v>23</v>
      </c>
      <c r="G63" s="56" t="s">
        <v>221</v>
      </c>
      <c r="H63" s="56">
        <v>1.0</v>
      </c>
      <c r="I63" s="56">
        <v>2.0</v>
      </c>
      <c r="J63" s="56">
        <v>2.0</v>
      </c>
    </row>
    <row r="64">
      <c r="A64" s="55" t="s">
        <v>222</v>
      </c>
      <c r="B64" s="11"/>
      <c r="C64" s="55" t="s">
        <v>106</v>
      </c>
      <c r="D64" s="55" t="s">
        <v>138</v>
      </c>
      <c r="E64" s="55">
        <v>0.01</v>
      </c>
      <c r="F64" s="55" t="s">
        <v>23</v>
      </c>
      <c r="G64" s="56" t="s">
        <v>223</v>
      </c>
      <c r="H64" s="56">
        <v>1.0</v>
      </c>
      <c r="I64" s="56">
        <v>2.0</v>
      </c>
      <c r="J64" s="56">
        <v>2.0</v>
      </c>
    </row>
    <row r="65">
      <c r="A65" s="55" t="s">
        <v>224</v>
      </c>
      <c r="B65" s="11"/>
      <c r="C65" s="55" t="s">
        <v>106</v>
      </c>
      <c r="D65" s="55" t="s">
        <v>138</v>
      </c>
      <c r="E65" s="55">
        <v>0.01</v>
      </c>
      <c r="F65" s="55" t="s">
        <v>23</v>
      </c>
      <c r="G65" s="56" t="s">
        <v>225</v>
      </c>
      <c r="H65" s="56">
        <v>1.0</v>
      </c>
      <c r="I65" s="56">
        <v>2.0</v>
      </c>
      <c r="J65" s="56">
        <v>2.0</v>
      </c>
    </row>
    <row r="66">
      <c r="A66" s="55" t="s">
        <v>226</v>
      </c>
      <c r="B66" s="4"/>
      <c r="C66" s="55" t="s">
        <v>106</v>
      </c>
      <c r="D66" s="55" t="s">
        <v>138</v>
      </c>
      <c r="E66" s="55">
        <v>0.01</v>
      </c>
      <c r="F66" s="55" t="s">
        <v>23</v>
      </c>
      <c r="G66" s="56" t="s">
        <v>227</v>
      </c>
      <c r="H66" s="56">
        <v>1.0</v>
      </c>
      <c r="I66" s="56">
        <v>2.0</v>
      </c>
      <c r="J66" s="56">
        <v>2.0</v>
      </c>
    </row>
    <row r="67">
      <c r="A67" s="55" t="s">
        <v>364</v>
      </c>
      <c r="B67" s="58" t="s">
        <v>365</v>
      </c>
      <c r="C67" s="55" t="s">
        <v>366</v>
      </c>
      <c r="D67" s="55" t="s">
        <v>367</v>
      </c>
      <c r="E67" s="55">
        <v>0.1</v>
      </c>
      <c r="F67" s="55" t="s">
        <v>17</v>
      </c>
      <c r="G67" s="56" t="s">
        <v>368</v>
      </c>
      <c r="H67" s="56">
        <v>1.0</v>
      </c>
      <c r="I67" s="56">
        <v>1.0</v>
      </c>
      <c r="J67" s="56">
        <v>1.0</v>
      </c>
    </row>
    <row r="68">
      <c r="A68" s="55"/>
      <c r="B68" s="11"/>
      <c r="C68" s="55"/>
      <c r="D68" s="51" t="s">
        <v>371</v>
      </c>
      <c r="E68" s="55">
        <v>0.1</v>
      </c>
      <c r="F68" s="55" t="s">
        <v>17</v>
      </c>
      <c r="G68" s="56" t="s">
        <v>372</v>
      </c>
      <c r="H68" s="56">
        <v>39.0</v>
      </c>
      <c r="I68" s="56">
        <v>1.0</v>
      </c>
      <c r="J68" s="56">
        <v>39.0</v>
      </c>
    </row>
    <row r="69">
      <c r="A69" s="55"/>
      <c r="B69" s="11"/>
      <c r="C69" s="55" t="s">
        <v>366</v>
      </c>
      <c r="D69" s="55" t="s">
        <v>373</v>
      </c>
      <c r="E69" s="55">
        <v>0.1</v>
      </c>
      <c r="F69" s="55" t="s">
        <v>17</v>
      </c>
      <c r="G69" s="56" t="s">
        <v>374</v>
      </c>
      <c r="H69" s="56">
        <v>1.0</v>
      </c>
      <c r="I69" s="56">
        <v>1.0</v>
      </c>
      <c r="J69" s="56">
        <v>1.0</v>
      </c>
    </row>
    <row r="70">
      <c r="A70" s="55"/>
      <c r="B70" s="11"/>
      <c r="C70" s="55"/>
      <c r="D70" s="55" t="s">
        <v>375</v>
      </c>
      <c r="E70" s="55">
        <v>0.1</v>
      </c>
      <c r="F70" s="55" t="s">
        <v>17</v>
      </c>
      <c r="G70" s="56" t="s">
        <v>376</v>
      </c>
      <c r="H70" s="56">
        <v>39.0</v>
      </c>
      <c r="I70" s="56">
        <v>1.0</v>
      </c>
      <c r="J70" s="56">
        <v>39.0</v>
      </c>
    </row>
    <row r="71">
      <c r="A71" s="59"/>
      <c r="B71" s="11"/>
      <c r="C71" s="55" t="s">
        <v>366</v>
      </c>
      <c r="D71" s="55" t="s">
        <v>377</v>
      </c>
      <c r="E71" s="55">
        <v>0.1</v>
      </c>
      <c r="F71" s="55" t="s">
        <v>17</v>
      </c>
      <c r="G71" s="56" t="s">
        <v>378</v>
      </c>
      <c r="H71" s="56">
        <v>1.0</v>
      </c>
      <c r="I71" s="56">
        <v>1.0</v>
      </c>
      <c r="J71" s="56">
        <v>1.0</v>
      </c>
    </row>
    <row r="72">
      <c r="A72" s="4"/>
      <c r="B72" s="11"/>
      <c r="C72" s="55"/>
      <c r="D72" s="55" t="s">
        <v>379</v>
      </c>
      <c r="E72" s="55">
        <v>0.1</v>
      </c>
      <c r="F72" s="55" t="s">
        <v>17</v>
      </c>
      <c r="G72" s="60" t="s">
        <v>380</v>
      </c>
      <c r="H72" s="56">
        <v>39.0</v>
      </c>
      <c r="I72" s="56">
        <v>1.0</v>
      </c>
      <c r="J72" s="56">
        <v>39.0</v>
      </c>
    </row>
    <row r="73">
      <c r="A73" s="55"/>
      <c r="B73" s="11"/>
      <c r="C73" s="55" t="s">
        <v>366</v>
      </c>
      <c r="D73" s="55" t="s">
        <v>381</v>
      </c>
      <c r="E73" s="55">
        <v>0.1</v>
      </c>
      <c r="F73" s="55" t="s">
        <v>17</v>
      </c>
      <c r="G73" s="56" t="s">
        <v>382</v>
      </c>
      <c r="H73" s="56">
        <v>1.0</v>
      </c>
      <c r="I73" s="56">
        <v>1.0</v>
      </c>
      <c r="J73" s="56">
        <v>1.0</v>
      </c>
    </row>
    <row r="74">
      <c r="A74" s="55"/>
      <c r="B74" s="11"/>
      <c r="C74" s="55"/>
      <c r="D74" s="55" t="s">
        <v>383</v>
      </c>
      <c r="E74" s="55">
        <v>0.1</v>
      </c>
      <c r="F74" s="55" t="s">
        <v>17</v>
      </c>
      <c r="G74" s="60" t="s">
        <v>384</v>
      </c>
      <c r="H74" s="56">
        <v>39.0</v>
      </c>
      <c r="I74" s="56">
        <v>1.0</v>
      </c>
      <c r="J74" s="56">
        <v>39.0</v>
      </c>
    </row>
    <row r="75">
      <c r="A75" s="55"/>
      <c r="B75" s="11"/>
      <c r="C75" s="55" t="s">
        <v>366</v>
      </c>
      <c r="D75" s="55" t="s">
        <v>385</v>
      </c>
      <c r="E75" s="55">
        <v>0.1</v>
      </c>
      <c r="F75" s="55" t="s">
        <v>17</v>
      </c>
      <c r="G75" s="56" t="s">
        <v>386</v>
      </c>
      <c r="H75" s="56">
        <v>1.0</v>
      </c>
      <c r="I75" s="56">
        <v>1.0</v>
      </c>
      <c r="J75" s="56">
        <v>1.0</v>
      </c>
    </row>
    <row r="76">
      <c r="A76" s="55"/>
      <c r="B76" s="11"/>
      <c r="C76" s="55"/>
      <c r="D76" s="55" t="s">
        <v>387</v>
      </c>
      <c r="E76" s="55">
        <v>0.1</v>
      </c>
      <c r="F76" s="55" t="s">
        <v>17</v>
      </c>
      <c r="G76" s="56" t="s">
        <v>388</v>
      </c>
      <c r="H76" s="56">
        <v>39.0</v>
      </c>
      <c r="I76" s="56">
        <v>1.0</v>
      </c>
      <c r="J76" s="56">
        <v>39.0</v>
      </c>
    </row>
    <row r="77">
      <c r="A77" s="55"/>
      <c r="B77" s="11"/>
      <c r="C77" s="55" t="s">
        <v>366</v>
      </c>
      <c r="D77" s="55" t="s">
        <v>389</v>
      </c>
      <c r="E77" s="55">
        <v>0.1</v>
      </c>
      <c r="F77" s="55" t="s">
        <v>17</v>
      </c>
      <c r="G77" s="56" t="s">
        <v>390</v>
      </c>
      <c r="H77" s="56">
        <v>1.0</v>
      </c>
      <c r="I77" s="56">
        <v>1.0</v>
      </c>
      <c r="J77" s="56">
        <v>1.0</v>
      </c>
    </row>
    <row r="78">
      <c r="A78" s="55"/>
      <c r="B78" s="4"/>
      <c r="C78" s="55"/>
      <c r="D78" s="55" t="s">
        <v>391</v>
      </c>
      <c r="E78" s="55">
        <v>0.1</v>
      </c>
      <c r="F78" s="55" t="s">
        <v>17</v>
      </c>
      <c r="G78" s="56" t="s">
        <v>392</v>
      </c>
      <c r="H78" s="56">
        <v>39.0</v>
      </c>
      <c r="I78" s="56">
        <v>1.0</v>
      </c>
      <c r="J78" s="56">
        <v>39.0</v>
      </c>
    </row>
    <row r="79">
      <c r="A79" s="55" t="s">
        <v>393</v>
      </c>
      <c r="B79" s="58" t="s">
        <v>394</v>
      </c>
      <c r="C79" s="55" t="s">
        <v>366</v>
      </c>
      <c r="D79" s="55" t="s">
        <v>367</v>
      </c>
      <c r="E79" s="55">
        <v>0.1</v>
      </c>
      <c r="F79" s="55" t="s">
        <v>17</v>
      </c>
      <c r="G79" s="56" t="s">
        <v>395</v>
      </c>
      <c r="H79" s="56">
        <v>1.0</v>
      </c>
      <c r="I79" s="56">
        <v>1.0</v>
      </c>
      <c r="J79" s="56">
        <v>1.0</v>
      </c>
    </row>
    <row r="80">
      <c r="A80" s="55"/>
      <c r="B80" s="11"/>
      <c r="C80" s="55"/>
      <c r="D80" s="55" t="s">
        <v>371</v>
      </c>
      <c r="E80" s="55">
        <v>0.1</v>
      </c>
      <c r="F80" s="55" t="s">
        <v>17</v>
      </c>
      <c r="G80" s="56">
        <v>6001.0</v>
      </c>
      <c r="H80" s="56">
        <v>39.0</v>
      </c>
      <c r="I80" s="56">
        <v>1.0</v>
      </c>
      <c r="J80" s="56">
        <v>39.0</v>
      </c>
    </row>
    <row r="81">
      <c r="A81" s="55"/>
      <c r="B81" s="11"/>
      <c r="C81" s="55" t="s">
        <v>366</v>
      </c>
      <c r="D81" s="55" t="s">
        <v>373</v>
      </c>
      <c r="E81" s="55">
        <v>0.1</v>
      </c>
      <c r="F81" s="55" t="s">
        <v>17</v>
      </c>
      <c r="G81" s="56" t="s">
        <v>396</v>
      </c>
      <c r="H81" s="56">
        <v>1.0</v>
      </c>
      <c r="I81" s="56">
        <v>1.0</v>
      </c>
      <c r="J81" s="56">
        <v>1.0</v>
      </c>
    </row>
    <row r="82">
      <c r="A82" s="55"/>
      <c r="B82" s="11"/>
      <c r="C82" s="55"/>
      <c r="D82" s="55" t="s">
        <v>375</v>
      </c>
      <c r="E82" s="55">
        <v>0.1</v>
      </c>
      <c r="F82" s="55" t="s">
        <v>17</v>
      </c>
      <c r="G82" s="56">
        <v>6081.0</v>
      </c>
      <c r="H82" s="56">
        <v>39.0</v>
      </c>
      <c r="I82" s="56">
        <v>1.0</v>
      </c>
      <c r="J82" s="56">
        <v>39.0</v>
      </c>
    </row>
    <row r="83">
      <c r="A83" s="55"/>
      <c r="B83" s="11"/>
      <c r="C83" s="55" t="s">
        <v>366</v>
      </c>
      <c r="D83" s="55" t="s">
        <v>377</v>
      </c>
      <c r="E83" s="55">
        <v>0.1</v>
      </c>
      <c r="F83" s="55" t="s">
        <v>17</v>
      </c>
      <c r="G83" s="56" t="s">
        <v>397</v>
      </c>
      <c r="H83" s="56">
        <v>1.0</v>
      </c>
      <c r="I83" s="56">
        <v>1.0</v>
      </c>
      <c r="J83" s="56">
        <v>1.0</v>
      </c>
    </row>
    <row r="84">
      <c r="A84" s="55"/>
      <c r="B84" s="11"/>
      <c r="C84" s="55"/>
      <c r="D84" s="55" t="s">
        <v>379</v>
      </c>
      <c r="E84" s="55">
        <v>0.1</v>
      </c>
      <c r="F84" s="55" t="s">
        <v>17</v>
      </c>
      <c r="G84" s="56">
        <v>6101.0</v>
      </c>
      <c r="H84" s="56">
        <v>39.0</v>
      </c>
      <c r="I84" s="56">
        <v>1.0</v>
      </c>
      <c r="J84" s="56">
        <v>39.0</v>
      </c>
    </row>
    <row r="85">
      <c r="A85" s="55"/>
      <c r="B85" s="11"/>
      <c r="C85" s="55" t="s">
        <v>366</v>
      </c>
      <c r="D85" s="55" t="s">
        <v>398</v>
      </c>
      <c r="E85" s="55">
        <v>0.1</v>
      </c>
      <c r="F85" s="55" t="s">
        <v>17</v>
      </c>
      <c r="G85" s="56" t="s">
        <v>399</v>
      </c>
      <c r="H85" s="56">
        <v>1.0</v>
      </c>
      <c r="I85" s="56">
        <v>1.0</v>
      </c>
      <c r="J85" s="56">
        <v>1.0</v>
      </c>
    </row>
    <row r="86">
      <c r="A86" s="55"/>
      <c r="B86" s="4"/>
      <c r="C86" s="55"/>
      <c r="D86" s="55" t="s">
        <v>400</v>
      </c>
      <c r="E86" s="55">
        <v>0.1</v>
      </c>
      <c r="F86" s="55" t="s">
        <v>17</v>
      </c>
      <c r="G86" s="56">
        <v>6181.0</v>
      </c>
      <c r="H86" s="56">
        <v>39.0</v>
      </c>
      <c r="I86" s="56">
        <v>1.0</v>
      </c>
      <c r="J86" s="56">
        <v>39.0</v>
      </c>
    </row>
    <row r="87">
      <c r="A87" s="55" t="s">
        <v>401</v>
      </c>
      <c r="B87" s="61" t="s">
        <v>402</v>
      </c>
      <c r="C87" s="55" t="s">
        <v>366</v>
      </c>
      <c r="D87" s="55" t="s">
        <v>403</v>
      </c>
      <c r="E87" s="55">
        <v>0.1</v>
      </c>
      <c r="F87" s="55" t="s">
        <v>17</v>
      </c>
      <c r="G87" s="56">
        <v>6200.0</v>
      </c>
      <c r="H87" s="56">
        <v>1.0</v>
      </c>
      <c r="I87" s="56">
        <v>2.0</v>
      </c>
      <c r="J87" s="56">
        <v>2.0</v>
      </c>
    </row>
    <row r="88">
      <c r="A88" s="55"/>
      <c r="B88" s="11"/>
      <c r="C88" s="55" t="s">
        <v>366</v>
      </c>
      <c r="D88" s="55" t="s">
        <v>404</v>
      </c>
      <c r="E88" s="55">
        <v>0.1</v>
      </c>
      <c r="F88" s="55" t="s">
        <v>17</v>
      </c>
      <c r="G88" s="56">
        <v>6202.0</v>
      </c>
      <c r="H88" s="56">
        <v>1.0</v>
      </c>
      <c r="I88" s="56">
        <v>2.0</v>
      </c>
      <c r="J88" s="56">
        <v>2.0</v>
      </c>
    </row>
    <row r="89">
      <c r="A89" s="55"/>
      <c r="B89" s="4"/>
      <c r="C89" s="55" t="s">
        <v>366</v>
      </c>
      <c r="D89" s="55" t="s">
        <v>85</v>
      </c>
      <c r="E89" s="55">
        <v>0.1</v>
      </c>
      <c r="F89" s="55" t="s">
        <v>17</v>
      </c>
      <c r="G89" s="56">
        <v>6204.0</v>
      </c>
      <c r="H89" s="56">
        <v>1.0</v>
      </c>
      <c r="I89" s="56">
        <v>2.0</v>
      </c>
      <c r="J89" s="56">
        <v>2.0</v>
      </c>
    </row>
  </sheetData>
  <mergeCells count="10">
    <mergeCell ref="B67:B78"/>
    <mergeCell ref="B79:B86"/>
    <mergeCell ref="B87:B89"/>
    <mergeCell ref="A71:A72"/>
    <mergeCell ref="B8:B14"/>
    <mergeCell ref="B15:B19"/>
    <mergeCell ref="B20:B31"/>
    <mergeCell ref="B33:B44"/>
    <mergeCell ref="B2:B7"/>
    <mergeCell ref="B45:B66"/>
  </mergeCells>
  <conditionalFormatting sqref="A1:A70 A73:A89">
    <cfRule type="containsText" dxfId="0" priority="1" operator="containsText" text="Reserved">
      <formula>NOT(ISERROR(SEARCH(("Reserved"),(A1))))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2019-02-03T18:38:03Z</dcterms:created>
  <dc:creator>Joao Baeza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0x0101009DA941C5916D9F48BF8C601E2C064524</vt:lpwstr>
  </property>
</Properties>
</file>